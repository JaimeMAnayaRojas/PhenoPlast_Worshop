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urrent work\T028 - Plasticity Workshop Bielefeld\"/>
    </mc:Choice>
  </mc:AlternateContent>
  <xr:revisionPtr revIDLastSave="0" documentId="8_{3E77C2AD-18C1-4355-937E-488891AD86C0}" xr6:coauthVersionLast="47" xr6:coauthVersionMax="47" xr10:uidLastSave="{00000000-0000-0000-0000-000000000000}"/>
  <bookViews>
    <workbookView xWindow="-120" yWindow="-120" windowWidth="29040" windowHeight="15720" xr2:uid="{65B45E5E-E8B7-437F-8800-246ECC2F4BD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4" i="1" l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304" i="1" l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</calcChain>
</file>

<file path=xl/sharedStrings.xml><?xml version="1.0" encoding="utf-8"?>
<sst xmlns="http://schemas.openxmlformats.org/spreadsheetml/2006/main" count="2164" uniqueCount="457">
  <si>
    <t>age_at_1_Clutch_d</t>
  </si>
  <si>
    <t>generation</t>
  </si>
  <si>
    <t>R10-4-11</t>
  </si>
  <si>
    <t>AC</t>
  </si>
  <si>
    <t>R10</t>
  </si>
  <si>
    <t>F0</t>
  </si>
  <si>
    <t>R10-4-12</t>
  </si>
  <si>
    <t>R10-4-7</t>
  </si>
  <si>
    <t>R10-4-8</t>
  </si>
  <si>
    <t>R10-4-9</t>
  </si>
  <si>
    <t>R10-5-10</t>
  </si>
  <si>
    <t>R10-5-11</t>
  </si>
  <si>
    <t>R10-5-12</t>
  </si>
  <si>
    <t>R10-5-7</t>
  </si>
  <si>
    <t>R10-5-8</t>
  </si>
  <si>
    <t>R10-5-9</t>
  </si>
  <si>
    <t>R1-7-10</t>
  </si>
  <si>
    <t>R1</t>
  </si>
  <si>
    <t>R1-7-11</t>
  </si>
  <si>
    <t>R1-7-12</t>
  </si>
  <si>
    <t>R1-7-7</t>
  </si>
  <si>
    <t>R1-7-8</t>
  </si>
  <si>
    <t>R1-7-9</t>
  </si>
  <si>
    <t>R2-1-10</t>
  </si>
  <si>
    <t>R2</t>
  </si>
  <si>
    <t>R2-1-11</t>
  </si>
  <si>
    <t>R2-1-12</t>
  </si>
  <si>
    <t>R2-1-7</t>
  </si>
  <si>
    <t>R2-1-8</t>
  </si>
  <si>
    <t>R2-1-9</t>
  </si>
  <si>
    <t>R3-4-10</t>
  </si>
  <si>
    <t>R3</t>
  </si>
  <si>
    <t>R3-4-11</t>
  </si>
  <si>
    <t>R3-4-12</t>
  </si>
  <si>
    <t>R3-4-7</t>
  </si>
  <si>
    <t>R3-4-8</t>
  </si>
  <si>
    <t>R3-4-9</t>
  </si>
  <si>
    <t>R4-7-10</t>
  </si>
  <si>
    <t>R4</t>
  </si>
  <si>
    <t>R4-7-11</t>
  </si>
  <si>
    <t>R4-7-12</t>
  </si>
  <si>
    <t>R4-7-7</t>
  </si>
  <si>
    <t>R4-7-8</t>
  </si>
  <si>
    <t>R4-7-9</t>
  </si>
  <si>
    <t>R5-3-1</t>
  </si>
  <si>
    <t>R5</t>
  </si>
  <si>
    <t>R5-3-2</t>
  </si>
  <si>
    <t>R5-3-3</t>
  </si>
  <si>
    <t>R5-6-4</t>
  </si>
  <si>
    <t>R5-6-5</t>
  </si>
  <si>
    <t>R5-6-6</t>
  </si>
  <si>
    <t>R5-7-10</t>
  </si>
  <si>
    <t>R5-7-11</t>
  </si>
  <si>
    <t>R5-7-12</t>
  </si>
  <si>
    <t>R5-7-7</t>
  </si>
  <si>
    <t>R5-7-8</t>
  </si>
  <si>
    <t>R5-7-9</t>
  </si>
  <si>
    <t>R6-5-1</t>
  </si>
  <si>
    <t>R6</t>
  </si>
  <si>
    <t>R6-5-2</t>
  </si>
  <si>
    <t>R6-5-3</t>
  </si>
  <si>
    <t>R6-5-4</t>
  </si>
  <si>
    <t>R6-5-5</t>
  </si>
  <si>
    <t>R6-5-6</t>
  </si>
  <si>
    <t>R7-7-10</t>
  </si>
  <si>
    <t>R7</t>
  </si>
  <si>
    <t>R7-7-11</t>
  </si>
  <si>
    <t>R7-7-12</t>
  </si>
  <si>
    <t>R7-7-7</t>
  </si>
  <si>
    <t>R7-7-8</t>
  </si>
  <si>
    <t>R7-7-9</t>
  </si>
  <si>
    <t>R8-2-10</t>
  </si>
  <si>
    <t>R8</t>
  </si>
  <si>
    <t>R8-2-11</t>
  </si>
  <si>
    <t>R8-2-12</t>
  </si>
  <si>
    <t>R8-2-7</t>
  </si>
  <si>
    <t>R8-2-8</t>
  </si>
  <si>
    <t>R8-2-9</t>
  </si>
  <si>
    <t>R9-4-10</t>
  </si>
  <si>
    <t>R9</t>
  </si>
  <si>
    <t>R9-4-11</t>
  </si>
  <si>
    <t>R9-4-12</t>
  </si>
  <si>
    <t>R9-4-7</t>
  </si>
  <si>
    <t>R9-4-8</t>
  </si>
  <si>
    <t>R9-4-9</t>
  </si>
  <si>
    <t>R10-4-1</t>
  </si>
  <si>
    <t>W</t>
  </si>
  <si>
    <t>R10-4-2</t>
  </si>
  <si>
    <t>R10-4-3</t>
  </si>
  <si>
    <t>R10-4-4</t>
  </si>
  <si>
    <t>R10-4-5</t>
  </si>
  <si>
    <t>R10-4-6</t>
  </si>
  <si>
    <t>R10-5-1</t>
  </si>
  <si>
    <t>R10-5-2</t>
  </si>
  <si>
    <t>R10-5-3</t>
  </si>
  <si>
    <t>R10-5-4</t>
  </si>
  <si>
    <t>R10-5-5</t>
  </si>
  <si>
    <t>R10-5-6</t>
  </si>
  <si>
    <t>R1-7-1</t>
  </si>
  <si>
    <t>R1-7-2</t>
  </si>
  <si>
    <t>R1-7-3</t>
  </si>
  <si>
    <t>R1-7-4</t>
  </si>
  <si>
    <t>R1-7-5</t>
  </si>
  <si>
    <t>R1-7-6</t>
  </si>
  <si>
    <t>R2-1-1</t>
  </si>
  <si>
    <t>R2-1-2</t>
  </si>
  <si>
    <t>R2-1-3</t>
  </si>
  <si>
    <t>R2-1-4</t>
  </si>
  <si>
    <t>R2-1-5</t>
  </si>
  <si>
    <t>R2-1-6</t>
  </si>
  <si>
    <t>R3-4-1</t>
  </si>
  <si>
    <t>R3-4-2</t>
  </si>
  <si>
    <t>R3-4-3</t>
  </si>
  <si>
    <t>R3-4-4</t>
  </si>
  <si>
    <t>R3-4-5</t>
  </si>
  <si>
    <t>R3-4-6</t>
  </si>
  <si>
    <t>R4-7-1</t>
  </si>
  <si>
    <t>R4-7-2</t>
  </si>
  <si>
    <t>R4-7-3</t>
  </si>
  <si>
    <t>R4-7-4</t>
  </si>
  <si>
    <t>R4-7-5</t>
  </si>
  <si>
    <t>R4-7-6</t>
  </si>
  <si>
    <t>R5-3-4</t>
  </si>
  <si>
    <t>R5-3-5</t>
  </si>
  <si>
    <t>R5-3-6</t>
  </si>
  <si>
    <t>R5-6-1</t>
  </si>
  <si>
    <t>R5-6-2</t>
  </si>
  <si>
    <t>R5-6-3</t>
  </si>
  <si>
    <t>R5-7-1</t>
  </si>
  <si>
    <t>R5-7-2</t>
  </si>
  <si>
    <t>R5-7-3</t>
  </si>
  <si>
    <t>R5-7-4</t>
  </si>
  <si>
    <t>R5-7-5</t>
  </si>
  <si>
    <t>R5-7-6</t>
  </si>
  <si>
    <t>R6-5-10</t>
  </si>
  <si>
    <t>R6-5-11</t>
  </si>
  <si>
    <t>R6-5-12</t>
  </si>
  <si>
    <t>R6-5-7</t>
  </si>
  <si>
    <t>R6-5-8</t>
  </si>
  <si>
    <t>R6-5-9</t>
  </si>
  <si>
    <t>R7-7-1</t>
  </si>
  <si>
    <t>R7-7-2</t>
  </si>
  <si>
    <t>R7-7-3</t>
  </si>
  <si>
    <t>R7-7-4</t>
  </si>
  <si>
    <t>R7-7-5</t>
  </si>
  <si>
    <t>R7-7-6</t>
  </si>
  <si>
    <t>R8-2-1</t>
  </si>
  <si>
    <t>R8-2-2</t>
  </si>
  <si>
    <t>R8-2-3</t>
  </si>
  <si>
    <t>R8-2-4</t>
  </si>
  <si>
    <t>R8-2-5</t>
  </si>
  <si>
    <t>R8-2-6</t>
  </si>
  <si>
    <t>R9-4-1</t>
  </si>
  <si>
    <t>R9-4-2</t>
  </si>
  <si>
    <t>R9-4-3</t>
  </si>
  <si>
    <t>R9-4-4</t>
  </si>
  <si>
    <t>R9-4-5</t>
  </si>
  <si>
    <t>R9-4-6</t>
  </si>
  <si>
    <t>R4-AC-1-B-1</t>
  </si>
  <si>
    <t>F6</t>
  </si>
  <si>
    <t>R3-AC-1-C-1</t>
  </si>
  <si>
    <t>R9-AC-1-D-1</t>
  </si>
  <si>
    <t>R1-AC-3-A-4</t>
  </si>
  <si>
    <t>R4-AC-4-C-1</t>
  </si>
  <si>
    <t>R4-AC-4-C-4</t>
  </si>
  <si>
    <t>R1-AC-2-B-1</t>
  </si>
  <si>
    <t>R1-AC-2-B-3</t>
  </si>
  <si>
    <t>R3-AC-2-C-3</t>
  </si>
  <si>
    <t>R7-AC-4-F-3</t>
  </si>
  <si>
    <t>R8-AC-4-C-3</t>
  </si>
  <si>
    <t>R1-AC-3-A-1</t>
  </si>
  <si>
    <t>R8-AC-4-C-1</t>
  </si>
  <si>
    <t>R1-AC-2-B-2</t>
  </si>
  <si>
    <t>R7-AC-4-F-4</t>
  </si>
  <si>
    <t>R1-AC-3-A-3</t>
  </si>
  <si>
    <t>R3-AC-1-C-4</t>
  </si>
  <si>
    <t>R5-AC-3-B-1</t>
  </si>
  <si>
    <t>R7-AC-4-F-1</t>
  </si>
  <si>
    <t>R4-AC-4-C-3</t>
  </si>
  <si>
    <t>R7-AC-3-A-3</t>
  </si>
  <si>
    <t>R6-AC-4-C-4</t>
  </si>
  <si>
    <t>NA</t>
  </si>
  <si>
    <t>R9-AC-1-D-3</t>
  </si>
  <si>
    <t>R10-AC-5-C-1</t>
  </si>
  <si>
    <t>R4-AC-1-B-2</t>
  </si>
  <si>
    <t>R3-AC-1-C-3</t>
  </si>
  <si>
    <t>R7-AC-3-A-1</t>
  </si>
  <si>
    <t>R6-AC-4-C-2</t>
  </si>
  <si>
    <t>R10-AC-5-C-2</t>
  </si>
  <si>
    <t>R6-AC-4-C-1</t>
  </si>
  <si>
    <t>R2-AC-6-B-3</t>
  </si>
  <si>
    <t>R8-AC-4-C-2</t>
  </si>
  <si>
    <t>R8-AC-4-D-4</t>
  </si>
  <si>
    <t>R2-AC-1-B-3</t>
  </si>
  <si>
    <t>R5-AC-3-B-3</t>
  </si>
  <si>
    <t>R8-AC-3-D-1</t>
  </si>
  <si>
    <t>R2-AC-1-B-2</t>
  </si>
  <si>
    <t>R6-AC-4-C-3</t>
  </si>
  <si>
    <t>R2-AC-6-B-2</t>
  </si>
  <si>
    <t>R5-AC-6-B-1</t>
  </si>
  <si>
    <t>R5-AC-3-B-2</t>
  </si>
  <si>
    <t>R9-AC-1-D-4</t>
  </si>
  <si>
    <t>R6-AC-6-D-1</t>
  </si>
  <si>
    <t>R10-AC-3-A-3</t>
  </si>
  <si>
    <t>R10-AC-3-A-1</t>
  </si>
  <si>
    <t>R8-AC-3-D-3</t>
  </si>
  <si>
    <t>R3-AC-2-C-2</t>
  </si>
  <si>
    <t>R9-AC-5-D-1</t>
  </si>
  <si>
    <t>R1-AC-2-B-4</t>
  </si>
  <si>
    <t>R10-AC-3-A-4</t>
  </si>
  <si>
    <t>R7-AC-3-A-2</t>
  </si>
  <si>
    <t>R2-AC-6-B-1</t>
  </si>
  <si>
    <t>R5-AC-6-B-2</t>
  </si>
  <si>
    <t>R10-AC-3-A-2</t>
  </si>
  <si>
    <t>R4-AC-1-B-4</t>
  </si>
  <si>
    <t>R7-AC-4-F-2</t>
  </si>
  <si>
    <t>R9-AC-1-D-2</t>
  </si>
  <si>
    <t>R6-AC-6-D-3</t>
  </si>
  <si>
    <t>R8-AC-4-C-4</t>
  </si>
  <si>
    <t>R9-AC-5-D-3</t>
  </si>
  <si>
    <t>R8-AC-3-D-2</t>
  </si>
  <si>
    <t>R3-AC-2-B-1</t>
  </si>
  <si>
    <t>R2-AC-6-B-4</t>
  </si>
  <si>
    <t>R7-AC-3-A-4</t>
  </si>
  <si>
    <t>R4-AC-4-C-2</t>
  </si>
  <si>
    <t>R5-AC-3-B-4</t>
  </si>
  <si>
    <t>R10-AC-5-C-3</t>
  </si>
  <si>
    <t>R5-AC-6-B-4</t>
  </si>
  <si>
    <t>R2-AC-1-B-1</t>
  </si>
  <si>
    <t>R9-AC-5-D-2</t>
  </si>
  <si>
    <t>R10-AC-5-C-4</t>
  </si>
  <si>
    <t>R3-AC-1-C-2</t>
  </si>
  <si>
    <t>R5-AC-6-B-3</t>
  </si>
  <si>
    <t>R6-AC-6-D-4</t>
  </si>
  <si>
    <t>R2-AC-1-B-4</t>
  </si>
  <si>
    <t>R6-AC-6-D-2</t>
  </si>
  <si>
    <t>R5-W-3-A-1</t>
  </si>
  <si>
    <t>R1-W-2-B-2</t>
  </si>
  <si>
    <t>R6-W-1-B-2</t>
  </si>
  <si>
    <t>R9-W-2-A-3</t>
  </si>
  <si>
    <t>R1-W-2-B-1</t>
  </si>
  <si>
    <t>R2-W-2-B-3</t>
  </si>
  <si>
    <t>R10-W-2-B-4</t>
  </si>
  <si>
    <t>R8-W-2-B-4</t>
  </si>
  <si>
    <t>R5-W-2-B-2</t>
  </si>
  <si>
    <t>R5-W-2-B-1</t>
  </si>
  <si>
    <t>R5-W-3-A-3</t>
  </si>
  <si>
    <t>R10-W-2-B-3</t>
  </si>
  <si>
    <t>R1-W-2-B-3</t>
  </si>
  <si>
    <t>R8-W-2-B-2</t>
  </si>
  <si>
    <t>R9-W-2-A-2</t>
  </si>
  <si>
    <t>R10-W-2-B-1</t>
  </si>
  <si>
    <t>R4-W-3-B-3</t>
  </si>
  <si>
    <t>R7-W-3-F-2</t>
  </si>
  <si>
    <t>R10-W-2-B-2</t>
  </si>
  <si>
    <t>R1-W-2-B-4</t>
  </si>
  <si>
    <t>R2-W-2-B-1</t>
  </si>
  <si>
    <t>R2-W-2-B-4</t>
  </si>
  <si>
    <t>R5-W-2-B-4</t>
  </si>
  <si>
    <t>R7-W-3-F-4</t>
  </si>
  <si>
    <t>R10-W-4-D-2</t>
  </si>
  <si>
    <t>R10-W-4-D-4</t>
  </si>
  <si>
    <t>R6-W-1-B-3</t>
  </si>
  <si>
    <t>R6-W-4-B-3</t>
  </si>
  <si>
    <t>R6-W-4-B-4</t>
  </si>
  <si>
    <t>R8-W-2-B-3</t>
  </si>
  <si>
    <t>R8-W-4-A-1</t>
  </si>
  <si>
    <t>R8-W-4-A-2</t>
  </si>
  <si>
    <t>R6-W-4-B-2</t>
  </si>
  <si>
    <t>R7-W-1-E-4</t>
  </si>
  <si>
    <t>R4-W-3-B-2</t>
  </si>
  <si>
    <t>R5-W-3-A-2</t>
  </si>
  <si>
    <t>R8-W-4-A-3</t>
  </si>
  <si>
    <t>R6-W-4-B-1</t>
  </si>
  <si>
    <t>R9-W-2-A-1</t>
  </si>
  <si>
    <t>R9-W-2-A-4</t>
  </si>
  <si>
    <t>R10-W-4-D-1</t>
  </si>
  <si>
    <t>R4-W-3-B-1</t>
  </si>
  <si>
    <t>R6-W-1-B-4</t>
  </si>
  <si>
    <t>R8-W-4-A-4</t>
  </si>
  <si>
    <t>R5-W-2-B-3</t>
  </si>
  <si>
    <t>R4-W-3-B-4</t>
  </si>
  <si>
    <t>R7-W-3-F-1</t>
  </si>
  <si>
    <t>R7-W-1-E-2</t>
  </si>
  <si>
    <t>R7-W-3-F-3</t>
  </si>
  <si>
    <t>R2-W-5-A-4</t>
  </si>
  <si>
    <t>R10-W-4-D-3</t>
  </si>
  <si>
    <t>R7-W-1-E-1</t>
  </si>
  <si>
    <t>R5-W-3-A-4</t>
  </si>
  <si>
    <t>R6-W-1-B-1</t>
  </si>
  <si>
    <t>R2-W-2-B-2</t>
  </si>
  <si>
    <t>R2-W-5-A-1</t>
  </si>
  <si>
    <t>R2-W-5-A-3</t>
  </si>
  <si>
    <t>R2-W-5-A-2</t>
  </si>
  <si>
    <t>R7-W-1-E-3</t>
  </si>
  <si>
    <t>R1-W-7-B-2</t>
  </si>
  <si>
    <t>R3-W-10-A-2</t>
  </si>
  <si>
    <t>R3-W-7-A-2</t>
  </si>
  <si>
    <t>R3-W-10-A-3</t>
  </si>
  <si>
    <t>R3-W-7-A-1</t>
  </si>
  <si>
    <t>R3-W-7-A-3</t>
  </si>
  <si>
    <t>R9-W-9-C-4</t>
  </si>
  <si>
    <t>R1-W-7-B-3</t>
  </si>
  <si>
    <t>R3-W-10-A-1</t>
  </si>
  <si>
    <t>R3-W-7-A-4</t>
  </si>
  <si>
    <t>R9-W-9-C-3</t>
  </si>
  <si>
    <t>R1-W-7-B-1</t>
  </si>
  <si>
    <t>R1-W-7-B-4</t>
  </si>
  <si>
    <t>R3-W-10-A-4</t>
  </si>
  <si>
    <t>R4-W-9-B-1</t>
  </si>
  <si>
    <t>R4-W-9-B-2</t>
  </si>
  <si>
    <t>R9-W-9-C-2</t>
  </si>
  <si>
    <t>R4-W-9-B-3</t>
  </si>
  <si>
    <t>R4-W-9-B-4</t>
  </si>
  <si>
    <t>R9-W-9-C-1</t>
  </si>
  <si>
    <t>F0-W</t>
  </si>
  <si>
    <t>F6-W</t>
  </si>
  <si>
    <t>F0-AC</t>
  </si>
  <si>
    <t>F6-AC</t>
  </si>
  <si>
    <t>condition_index_at_1_Clutch</t>
  </si>
  <si>
    <t>weight_at_1_Clutch_g</t>
  </si>
  <si>
    <t>shell_width_at_1_Clutch_mm</t>
  </si>
  <si>
    <t>shell_length_at_1_Clutch_mm</t>
  </si>
  <si>
    <t>shell_ratio_at_1_Clutch</t>
  </si>
  <si>
    <t>egg_no_in_1_Clutch</t>
  </si>
  <si>
    <t>offspring_no_15d_age_in_1_Clutch</t>
  </si>
  <si>
    <t>tank.id</t>
  </si>
  <si>
    <t>family.id</t>
  </si>
  <si>
    <t>F0-R10-4-W</t>
  </si>
  <si>
    <t>F0-R9-4-W</t>
  </si>
  <si>
    <t>F0-R1-7-W</t>
  </si>
  <si>
    <t>F0-R7-7-W</t>
  </si>
  <si>
    <t>F0-R8-2-W</t>
  </si>
  <si>
    <t>F0-R8-2-AC</t>
  </si>
  <si>
    <t>F0-R1-7-AC</t>
  </si>
  <si>
    <t>F0-R6-5-AC</t>
  </si>
  <si>
    <t>F0-R4-7-W</t>
  </si>
  <si>
    <t>F0-R10-4-AC</t>
  </si>
  <si>
    <t>F0-R10-5-W</t>
  </si>
  <si>
    <t>F0-R7-7-AC</t>
  </si>
  <si>
    <t>F0-R6-5-W</t>
  </si>
  <si>
    <t>F0-R2-1-W</t>
  </si>
  <si>
    <t>F0-R3-4-W</t>
  </si>
  <si>
    <t>F0-R2-1-AC</t>
  </si>
  <si>
    <t>F0-R3-4-AC</t>
  </si>
  <si>
    <t>F0-R9-4-AC</t>
  </si>
  <si>
    <t>F0-R4-7-AC</t>
  </si>
  <si>
    <t>F0-R10-5-AC</t>
  </si>
  <si>
    <t>F0-R5-3-AC</t>
  </si>
  <si>
    <t>F0-R5-6-W</t>
  </si>
  <si>
    <t>F0-R5-7-W</t>
  </si>
  <si>
    <t>F0-R5-7-AC</t>
  </si>
  <si>
    <t>F0-R5-6-AC</t>
  </si>
  <si>
    <t>F0-R5-3-W</t>
  </si>
  <si>
    <t>F6-R10-W-2-B</t>
  </si>
  <si>
    <t>F6-R4-AC-1-B</t>
  </si>
  <si>
    <t>F6-R3-AC-1-C</t>
  </si>
  <si>
    <t>F6-R9-AC-1-D</t>
  </si>
  <si>
    <t>F6-R1-AC-3-A</t>
  </si>
  <si>
    <t>F6-R4-AC-4-C</t>
  </si>
  <si>
    <t>F6-R10-W-4-D</t>
  </si>
  <si>
    <t>F6-R1-AC-2-B</t>
  </si>
  <si>
    <t>F6-R3-AC-2-C</t>
  </si>
  <si>
    <t>F6-R7-AC-4-F</t>
  </si>
  <si>
    <t>F6-R8-AC-4-C</t>
  </si>
  <si>
    <t>F6-R5-AC-3-B</t>
  </si>
  <si>
    <t>F6-R7-AC-3-A</t>
  </si>
  <si>
    <t>F6-R6-AC-4-C</t>
  </si>
  <si>
    <t>F6-R2-AC-6-B</t>
  </si>
  <si>
    <t>F6-R8-AC-4-D</t>
  </si>
  <si>
    <t>F6-R2-AC-1-B</t>
  </si>
  <si>
    <t>F6-R8-AC-3-D</t>
  </si>
  <si>
    <t>F6-R5-AC-6-B</t>
  </si>
  <si>
    <t>F6-R6-AC-6-D</t>
  </si>
  <si>
    <t>F6-R9-AC-5-D</t>
  </si>
  <si>
    <t>F6-R3-AC-2-B</t>
  </si>
  <si>
    <t>F6-R3-W-10-A</t>
  </si>
  <si>
    <t>F6-R5-W-3-A</t>
  </si>
  <si>
    <t>F6-R1-W-2-B</t>
  </si>
  <si>
    <t>F6-R6-W-1-B</t>
  </si>
  <si>
    <t>F6-R9-W-2-A</t>
  </si>
  <si>
    <t>F6-R2-W-2-B</t>
  </si>
  <si>
    <t>F6-R8-W-2-B</t>
  </si>
  <si>
    <t>F6-R5-W-2-B</t>
  </si>
  <si>
    <t>F6-R4-W-3-B</t>
  </si>
  <si>
    <t>F6-R7-W-3-F</t>
  </si>
  <si>
    <t>F6-R6-W-4-B</t>
  </si>
  <si>
    <t>F6-R8-W-4-A</t>
  </si>
  <si>
    <t>F6-R7-W-1-E</t>
  </si>
  <si>
    <t>F6-R10-AC-5-C</t>
  </si>
  <si>
    <t>F6-R2-W-5-A</t>
  </si>
  <si>
    <t>F6-R10-AC-3-A</t>
  </si>
  <si>
    <t>F6-R1-W-7-B</t>
  </si>
  <si>
    <t>F6-R3-W-7-A</t>
  </si>
  <si>
    <t>F6-R9-W-9-C</t>
  </si>
  <si>
    <t>F6-R4-W-9-B</t>
  </si>
  <si>
    <t>F0-R10-4</t>
  </si>
  <si>
    <t>F0-R9-4</t>
  </si>
  <si>
    <t>F0-R1-7</t>
  </si>
  <si>
    <t>F0-R7-7</t>
  </si>
  <si>
    <t>F0-R8-2</t>
  </si>
  <si>
    <t>F0-R6-5</t>
  </si>
  <si>
    <t>F0-R4-7</t>
  </si>
  <si>
    <t>F0-R10-5</t>
  </si>
  <si>
    <t>F0-R2-1</t>
  </si>
  <si>
    <t>F0-R3-4</t>
  </si>
  <si>
    <t>F0-R5-3</t>
  </si>
  <si>
    <t>F0-R5-6</t>
  </si>
  <si>
    <t>F0-R5-7</t>
  </si>
  <si>
    <t>F6-R5W3</t>
  </si>
  <si>
    <t>F6-R1W2</t>
  </si>
  <si>
    <t>F6-R6W1</t>
  </si>
  <si>
    <t>F6-R9W2</t>
  </si>
  <si>
    <t>F6-R2W2</t>
  </si>
  <si>
    <t>F6-R10W2</t>
  </si>
  <si>
    <t>F6-R8W2</t>
  </si>
  <si>
    <t>F6-R4AC1</t>
  </si>
  <si>
    <t>F6-R3AC1</t>
  </si>
  <si>
    <t>F6-R9AC1</t>
  </si>
  <si>
    <t>F6-R5W2</t>
  </si>
  <si>
    <t>F6-R1AC3</t>
  </si>
  <si>
    <t>F6-R4W3</t>
  </si>
  <si>
    <t>F6-R7W3</t>
  </si>
  <si>
    <t>F6-R4AC4</t>
  </si>
  <si>
    <t>F6-R10W4</t>
  </si>
  <si>
    <t>F6-R6W4</t>
  </si>
  <si>
    <t>F6-R8W4</t>
  </si>
  <si>
    <t>F6-R1AC2</t>
  </si>
  <si>
    <t>F6-R3AC2</t>
  </si>
  <si>
    <t>F6-R7AC4</t>
  </si>
  <si>
    <t>F6-R8AC4</t>
  </si>
  <si>
    <t>F6-R7W1</t>
  </si>
  <si>
    <t>F6-R5AC3</t>
  </si>
  <si>
    <t>F6-R7AC3</t>
  </si>
  <si>
    <t>F6-R6AC4</t>
  </si>
  <si>
    <t>F6-R10AC5</t>
  </si>
  <si>
    <t>F6-R2W5</t>
  </si>
  <si>
    <t>F6-R2AC6</t>
  </si>
  <si>
    <t>F6-R2AC1</t>
  </si>
  <si>
    <t>F6-R8AC3</t>
  </si>
  <si>
    <t>F6-R5AC6</t>
  </si>
  <si>
    <t>F6-R6AC6</t>
  </si>
  <si>
    <t>F6-R10AC3</t>
  </si>
  <si>
    <t>F6-R9AC5</t>
  </si>
  <si>
    <t>F6-R1W7</t>
  </si>
  <si>
    <t>F6-R3W10</t>
  </si>
  <si>
    <t>F6-R3W7</t>
  </si>
  <si>
    <t>F6-R9W9</t>
  </si>
  <si>
    <t>F6-R4W9</t>
  </si>
  <si>
    <t>avg_egg_effective_diameter_in_1_Clutch</t>
  </si>
  <si>
    <t>cv_egg_effective_diameter_in_1_Clutch</t>
  </si>
  <si>
    <t>replicate</t>
  </si>
  <si>
    <t>snail.id</t>
  </si>
  <si>
    <t>treatment</t>
  </si>
  <si>
    <t>early_life_survival_prob_in_1_Clutch</t>
  </si>
  <si>
    <t>gen.treatment</t>
  </si>
  <si>
    <t>shell_eff_diam_at_1_Clutch_mm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</si>
</sst>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7">
    <xf numFmtId="0" fontId="0" fillId="0" borderId="0" xfId="0"/>
    <xf numFmtId="0" fontId="1" fillId="0" borderId="0" xfId="1" applyBorder="1"/>
    <xf numFmtId="0" fontId="1" fillId="0" borderId="0" xfId="1" applyFill="1" applyBorder="1"/>
    <xf numFmtId="49" fontId="0" fillId="0" borderId="0" xfId="0" applyNumberFormat="1"/>
    <xf numFmtId="49" fontId="1" fillId="0" borderId="0" xfId="1" applyNumberFormat="1" applyFill="1" applyBorder="1"/>
    <xf numFmtId="49" fontId="1" fillId="0" borderId="0" xfId="1" applyNumberFormat="1" applyBorder="1"/>
    <xf numFmtId="0" fontId="0" fillId="0" borderId="0" xfId="0" applyBorder="1"/>
  </cellXfs>
  <cellStyles count="2">
    <cellStyle name="Default" xfId="1" xr:uid="{AA13E059-5ED8-46C6-91A6-F8ACF5FF9DEA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A286-2C86-463F-ACAF-F519FC9E2AFB}">
  <dimension ref="A1:S304"/>
  <sheetViews>
    <sheetView tabSelected="1" zoomScaleNormal="100" workbookViewId="0">
      <selection activeCell="H16" sqref="H16"/>
    </sheetView>
  </sheetViews>
  <sheetFormatPr baseColWidth="10" defaultRowHeight="15" x14ac:dyDescent="0.25"/>
  <cols>
    <col min="1" max="1" width="10.7109375" style="6" bestFit="1" customWidth="1"/>
    <col min="2" max="2" width="8.85546875" style="6" bestFit="1" customWidth="1"/>
    <col min="3" max="3" width="12.7109375" style="6" bestFit="1" customWidth="1"/>
    <col min="4" max="4" width="10.140625" style="6" bestFit="1" customWidth="1"/>
    <col min="5" max="5" width="13.42578125" style="6" bestFit="1" customWidth="1"/>
    <col min="6" max="6" width="10" style="6" bestFit="1" customWidth="1"/>
    <col min="7" max="7" width="13.140625" style="6" bestFit="1" customWidth="1"/>
    <col min="8" max="8" width="17.7109375" style="6" bestFit="1" customWidth="1"/>
    <col min="9" max="9" width="28.140625" style="6" bestFit="1" customWidth="1"/>
    <col min="10" max="10" width="27.5703125" style="6" bestFit="1" customWidth="1"/>
    <col min="11" max="11" width="27.5703125" style="6" customWidth="1"/>
    <col min="12" max="12" width="22" style="6" bestFit="1" customWidth="1"/>
    <col min="13" max="13" width="20.5703125" style="6" bestFit="1" customWidth="1"/>
    <col min="14" max="14" width="27.140625" style="6" bestFit="1" customWidth="1"/>
    <col min="15" max="15" width="18.85546875" style="6" bestFit="1" customWidth="1"/>
    <col min="16" max="16" width="32.42578125" style="6" bestFit="1" customWidth="1"/>
    <col min="17" max="17" width="34.28515625" style="6" bestFit="1" customWidth="1"/>
    <col min="18" max="18" width="38.28515625" style="6" bestFit="1" customWidth="1"/>
    <col min="19" max="19" width="37.140625" style="6" bestFit="1" customWidth="1"/>
  </cols>
  <sheetData>
    <row r="1" spans="1:19" x14ac:dyDescent="0.25">
      <c r="A1" s="2" t="s">
        <v>1</v>
      </c>
      <c r="B1" s="2" t="s">
        <v>451</v>
      </c>
      <c r="C1" s="1" t="s">
        <v>452</v>
      </c>
      <c r="D1" s="2" t="s">
        <v>327</v>
      </c>
      <c r="E1" s="2" t="s">
        <v>326</v>
      </c>
      <c r="F1" s="1" t="s">
        <v>453</v>
      </c>
      <c r="G1" s="6" t="s">
        <v>455</v>
      </c>
      <c r="H1" s="2" t="s">
        <v>0</v>
      </c>
      <c r="I1" s="2" t="s">
        <v>322</v>
      </c>
      <c r="J1" s="2" t="s">
        <v>321</v>
      </c>
      <c r="K1" s="2" t="s">
        <v>456</v>
      </c>
      <c r="L1" s="2" t="s">
        <v>323</v>
      </c>
      <c r="M1" s="2" t="s">
        <v>320</v>
      </c>
      <c r="N1" s="2" t="s">
        <v>319</v>
      </c>
      <c r="O1" s="2" t="s">
        <v>324</v>
      </c>
      <c r="P1" s="2" t="s">
        <v>325</v>
      </c>
      <c r="Q1" s="2" t="s">
        <v>454</v>
      </c>
      <c r="R1" s="1" t="s">
        <v>449</v>
      </c>
      <c r="S1" s="1" t="s">
        <v>450</v>
      </c>
    </row>
    <row r="2" spans="1:19" x14ac:dyDescent="0.25">
      <c r="A2" t="s">
        <v>5</v>
      </c>
      <c r="B2" t="s">
        <v>4</v>
      </c>
      <c r="C2" t="s">
        <v>85</v>
      </c>
      <c r="D2" t="s">
        <v>396</v>
      </c>
      <c r="E2" t="s">
        <v>328</v>
      </c>
      <c r="F2" t="s">
        <v>86</v>
      </c>
      <c r="G2" t="s">
        <v>315</v>
      </c>
      <c r="H2">
        <v>37</v>
      </c>
      <c r="I2">
        <v>9.5500000000000007</v>
      </c>
      <c r="J2">
        <v>5.55</v>
      </c>
      <c r="K2">
        <f>(I2*J2^2)^(1/3)</f>
        <v>6.6506349856277494</v>
      </c>
      <c r="L2">
        <v>1.7207207207207209</v>
      </c>
      <c r="M2">
        <v>0.13239999999999999</v>
      </c>
      <c r="N2">
        <v>15.075734388516445</v>
      </c>
      <c r="O2">
        <v>164</v>
      </c>
      <c r="P2">
        <v>153</v>
      </c>
      <c r="Q2">
        <v>0.93292682926829273</v>
      </c>
      <c r="R2">
        <v>0.61890653119999994</v>
      </c>
      <c r="S2">
        <v>3.1166862145591504E-2</v>
      </c>
    </row>
    <row r="3" spans="1:19" x14ac:dyDescent="0.25">
      <c r="A3" t="s">
        <v>5</v>
      </c>
      <c r="B3" t="s">
        <v>4</v>
      </c>
      <c r="C3" t="s">
        <v>2</v>
      </c>
      <c r="D3" t="s">
        <v>396</v>
      </c>
      <c r="E3" t="s">
        <v>337</v>
      </c>
      <c r="F3" t="s">
        <v>3</v>
      </c>
      <c r="G3" t="s">
        <v>317</v>
      </c>
      <c r="H3">
        <v>39</v>
      </c>
      <c r="I3">
        <v>9.0399999999999991</v>
      </c>
      <c r="J3">
        <v>5.58</v>
      </c>
      <c r="K3">
        <f>(I3*J3^2)^(1/3)</f>
        <v>6.5535850932894819</v>
      </c>
      <c r="L3">
        <v>1.6200716845878134</v>
      </c>
      <c r="M3">
        <v>0.1237</v>
      </c>
      <c r="N3">
        <v>16.442760297271658</v>
      </c>
      <c r="O3">
        <v>36</v>
      </c>
      <c r="P3">
        <v>13</v>
      </c>
      <c r="Q3">
        <v>0.3611111111111111</v>
      </c>
      <c r="R3">
        <v>0.66238779219999999</v>
      </c>
      <c r="S3">
        <v>5.2540899371067776E-2</v>
      </c>
    </row>
    <row r="4" spans="1:19" x14ac:dyDescent="0.25">
      <c r="A4" t="s">
        <v>5</v>
      </c>
      <c r="B4" t="s">
        <v>4</v>
      </c>
      <c r="C4" t="s">
        <v>6</v>
      </c>
      <c r="D4" t="s">
        <v>396</v>
      </c>
      <c r="E4" t="s">
        <v>337</v>
      </c>
      <c r="F4" t="s">
        <v>3</v>
      </c>
      <c r="G4" t="s">
        <v>317</v>
      </c>
      <c r="H4">
        <v>36</v>
      </c>
      <c r="I4">
        <v>9.1300000000000008</v>
      </c>
      <c r="J4">
        <v>5.13</v>
      </c>
      <c r="K4">
        <f>(I4*J4^2)^(1/3)</f>
        <v>6.2168229985419785</v>
      </c>
      <c r="L4">
        <v>1.7797270955165694</v>
      </c>
      <c r="M4">
        <v>0.1053</v>
      </c>
      <c r="N4">
        <v>13.611336743677846</v>
      </c>
      <c r="O4">
        <v>89</v>
      </c>
      <c r="P4">
        <v>77</v>
      </c>
      <c r="Q4">
        <v>0.8651685393258427</v>
      </c>
      <c r="R4">
        <v>0.64714246379999985</v>
      </c>
      <c r="S4">
        <v>4.4029665964733469E-2</v>
      </c>
    </row>
    <row r="5" spans="1:19" x14ac:dyDescent="0.25">
      <c r="A5" t="s">
        <v>5</v>
      </c>
      <c r="B5" t="s">
        <v>4</v>
      </c>
      <c r="C5" t="s">
        <v>87</v>
      </c>
      <c r="D5" t="s">
        <v>396</v>
      </c>
      <c r="E5" t="s">
        <v>328</v>
      </c>
      <c r="F5" t="s">
        <v>86</v>
      </c>
      <c r="G5" t="s">
        <v>315</v>
      </c>
      <c r="H5">
        <v>37</v>
      </c>
      <c r="I5">
        <v>10.52</v>
      </c>
      <c r="J5">
        <v>5.61</v>
      </c>
      <c r="K5">
        <f>(I5*J5^2)^(1/3)</f>
        <v>6.9179988812069313</v>
      </c>
      <c r="L5">
        <v>1.8752228163992868</v>
      </c>
      <c r="M5">
        <v>0.15509999999999999</v>
      </c>
      <c r="N5">
        <v>13.443966187788657</v>
      </c>
      <c r="O5">
        <v>173</v>
      </c>
      <c r="P5">
        <v>32</v>
      </c>
      <c r="Q5">
        <v>0.18497109826589594</v>
      </c>
      <c r="R5">
        <v>0.60447125430000004</v>
      </c>
      <c r="S5">
        <v>8.3444203262319078E-2</v>
      </c>
    </row>
    <row r="6" spans="1:19" x14ac:dyDescent="0.25">
      <c r="A6" t="s">
        <v>5</v>
      </c>
      <c r="B6" t="s">
        <v>4</v>
      </c>
      <c r="C6" s="3" t="s">
        <v>88</v>
      </c>
      <c r="D6" t="s">
        <v>396</v>
      </c>
      <c r="E6" t="s">
        <v>328</v>
      </c>
      <c r="F6" t="s">
        <v>86</v>
      </c>
      <c r="G6" t="s">
        <v>315</v>
      </c>
      <c r="H6">
        <v>22</v>
      </c>
      <c r="I6">
        <v>5.75</v>
      </c>
      <c r="J6">
        <v>3.34</v>
      </c>
      <c r="K6">
        <f>(I6*J6^2)^(1/3)</f>
        <v>4.003012314254585</v>
      </c>
      <c r="L6">
        <v>1.721556886227545</v>
      </c>
      <c r="M6">
        <v>2.93E-2</v>
      </c>
      <c r="N6">
        <v>13.950966579360696</v>
      </c>
      <c r="O6">
        <v>31</v>
      </c>
      <c r="P6">
        <v>26</v>
      </c>
      <c r="Q6">
        <v>0.83870967741935487</v>
      </c>
      <c r="R6">
        <v>0.58876048920000001</v>
      </c>
      <c r="S6">
        <v>4.3808653871426781E-2</v>
      </c>
    </row>
    <row r="7" spans="1:19" x14ac:dyDescent="0.25">
      <c r="A7" t="s">
        <v>5</v>
      </c>
      <c r="B7" t="s">
        <v>4</v>
      </c>
      <c r="C7" t="s">
        <v>89</v>
      </c>
      <c r="D7" t="s">
        <v>396</v>
      </c>
      <c r="E7" t="s">
        <v>328</v>
      </c>
      <c r="F7" t="s">
        <v>86</v>
      </c>
      <c r="G7" t="s">
        <v>315</v>
      </c>
      <c r="H7">
        <v>20</v>
      </c>
      <c r="I7">
        <v>7.54</v>
      </c>
      <c r="J7">
        <v>3.94</v>
      </c>
      <c r="K7">
        <f>(I7*J7^2)^(1/3)</f>
        <v>4.8916412259920463</v>
      </c>
      <c r="L7">
        <v>1.9137055837563453</v>
      </c>
      <c r="M7">
        <v>4.82E-2</v>
      </c>
      <c r="N7">
        <v>10.687099255620099</v>
      </c>
      <c r="O7">
        <v>27</v>
      </c>
      <c r="P7">
        <v>25</v>
      </c>
      <c r="Q7">
        <v>0.92592592592592593</v>
      </c>
      <c r="R7">
        <v>0.62321308369999995</v>
      </c>
      <c r="S7">
        <v>5.9937378431584296E-2</v>
      </c>
    </row>
    <row r="8" spans="1:19" x14ac:dyDescent="0.25">
      <c r="A8" t="s">
        <v>5</v>
      </c>
      <c r="B8" t="s">
        <v>4</v>
      </c>
      <c r="C8" s="3" t="s">
        <v>90</v>
      </c>
      <c r="D8" t="s">
        <v>396</v>
      </c>
      <c r="E8" t="s">
        <v>328</v>
      </c>
      <c r="F8" t="s">
        <v>86</v>
      </c>
      <c r="G8" t="s">
        <v>315</v>
      </c>
      <c r="H8">
        <v>21</v>
      </c>
      <c r="I8">
        <v>7.34</v>
      </c>
      <c r="J8">
        <v>3.66</v>
      </c>
      <c r="K8">
        <f>(I8*J8^2)^(1/3)</f>
        <v>4.6155069603465853</v>
      </c>
      <c r="L8">
        <v>2.0054644808743167</v>
      </c>
      <c r="M8">
        <v>4.2200000000000001E-2</v>
      </c>
      <c r="N8">
        <v>10.093680693135553</v>
      </c>
      <c r="O8">
        <v>27</v>
      </c>
      <c r="P8">
        <v>21</v>
      </c>
      <c r="Q8">
        <v>0.77777777777777779</v>
      </c>
      <c r="R8">
        <v>0.5976972036</v>
      </c>
      <c r="S8">
        <v>3.669453724011474E-2</v>
      </c>
    </row>
    <row r="9" spans="1:19" x14ac:dyDescent="0.25">
      <c r="A9" t="s">
        <v>5</v>
      </c>
      <c r="B9" t="s">
        <v>4</v>
      </c>
      <c r="C9" t="s">
        <v>91</v>
      </c>
      <c r="D9" t="s">
        <v>396</v>
      </c>
      <c r="E9" t="s">
        <v>328</v>
      </c>
      <c r="F9" t="s">
        <v>86</v>
      </c>
      <c r="G9" t="s">
        <v>315</v>
      </c>
      <c r="H9">
        <v>35</v>
      </c>
      <c r="I9">
        <v>9.1999999999999993</v>
      </c>
      <c r="J9">
        <v>5.12</v>
      </c>
      <c r="K9">
        <f>(I9*J9^2)^(1/3)</f>
        <v>6.2245684878006768</v>
      </c>
      <c r="L9">
        <v>1.7968749999999998</v>
      </c>
      <c r="M9">
        <v>0.1024</v>
      </c>
      <c r="N9">
        <v>12.954429251617</v>
      </c>
      <c r="O9">
        <v>97</v>
      </c>
      <c r="P9">
        <v>74</v>
      </c>
      <c r="Q9">
        <v>0.76288659793814428</v>
      </c>
      <c r="R9">
        <v>0.69488335019999992</v>
      </c>
      <c r="S9">
        <v>3.7852384438562973E-2</v>
      </c>
    </row>
    <row r="10" spans="1:19" x14ac:dyDescent="0.25">
      <c r="A10" t="s">
        <v>5</v>
      </c>
      <c r="B10" t="s">
        <v>4</v>
      </c>
      <c r="C10" t="s">
        <v>7</v>
      </c>
      <c r="D10" t="s">
        <v>396</v>
      </c>
      <c r="E10" t="s">
        <v>337</v>
      </c>
      <c r="F10" t="s">
        <v>3</v>
      </c>
      <c r="G10" t="s">
        <v>317</v>
      </c>
      <c r="H10">
        <v>35</v>
      </c>
      <c r="I10">
        <v>11.14</v>
      </c>
      <c r="J10">
        <v>6.21</v>
      </c>
      <c r="K10">
        <f>(I10*J10^2)^(1/3)</f>
        <v>7.5455250238383655</v>
      </c>
      <c r="L10">
        <v>1.7938808373590984</v>
      </c>
      <c r="M10">
        <v>0.1782</v>
      </c>
      <c r="N10">
        <v>13.142907808729227</v>
      </c>
      <c r="O10">
        <v>231</v>
      </c>
      <c r="P10">
        <v>192</v>
      </c>
      <c r="Q10">
        <v>0.83116883116883122</v>
      </c>
      <c r="R10">
        <v>0.61550491210000002</v>
      </c>
      <c r="S10">
        <v>6.1042754608521724E-2</v>
      </c>
    </row>
    <row r="11" spans="1:19" x14ac:dyDescent="0.25">
      <c r="A11" t="s">
        <v>5</v>
      </c>
      <c r="B11" t="s">
        <v>4</v>
      </c>
      <c r="C11" t="s">
        <v>8</v>
      </c>
      <c r="D11" t="s">
        <v>396</v>
      </c>
      <c r="E11" t="s">
        <v>337</v>
      </c>
      <c r="F11" t="s">
        <v>3</v>
      </c>
      <c r="G11" t="s">
        <v>317</v>
      </c>
      <c r="H11">
        <v>35</v>
      </c>
      <c r="I11">
        <v>9.56</v>
      </c>
      <c r="J11">
        <v>5.57</v>
      </c>
      <c r="K11">
        <f>(I11*J11^2)^(1/3)</f>
        <v>6.6689290066302833</v>
      </c>
      <c r="L11">
        <v>1.7163375224416517</v>
      </c>
      <c r="M11">
        <v>0.13</v>
      </c>
      <c r="N11">
        <v>14.758835632685891</v>
      </c>
      <c r="O11">
        <v>126</v>
      </c>
      <c r="P11">
        <v>122</v>
      </c>
      <c r="Q11">
        <v>0.96825396825396826</v>
      </c>
      <c r="R11">
        <v>0.68698011640000001</v>
      </c>
      <c r="S11">
        <v>5.6690157780893313E-2</v>
      </c>
    </row>
    <row r="12" spans="1:19" x14ac:dyDescent="0.25">
      <c r="A12" t="s">
        <v>5</v>
      </c>
      <c r="B12" t="s">
        <v>4</v>
      </c>
      <c r="C12" s="3" t="s">
        <v>9</v>
      </c>
      <c r="D12" t="s">
        <v>396</v>
      </c>
      <c r="E12" t="s">
        <v>337</v>
      </c>
      <c r="F12" t="s">
        <v>3</v>
      </c>
      <c r="G12" t="s">
        <v>317</v>
      </c>
      <c r="H12">
        <v>24</v>
      </c>
      <c r="I12">
        <v>8.4499999999999993</v>
      </c>
      <c r="J12">
        <v>4.6500000000000004</v>
      </c>
      <c r="K12">
        <f>(I12*J12^2)^(1/3)</f>
        <v>5.6744120824189519</v>
      </c>
      <c r="L12">
        <v>1.8172043010752685</v>
      </c>
      <c r="M12">
        <v>7.1400000000000005E-2</v>
      </c>
      <c r="N12">
        <v>11.480539377998255</v>
      </c>
      <c r="O12">
        <v>26</v>
      </c>
      <c r="P12">
        <v>23</v>
      </c>
      <c r="Q12">
        <v>0.88461538461538458</v>
      </c>
      <c r="R12">
        <v>0.62521145680000001</v>
      </c>
      <c r="S12">
        <v>4.9098657344303999E-2</v>
      </c>
    </row>
    <row r="13" spans="1:19" x14ac:dyDescent="0.25">
      <c r="A13" t="s">
        <v>5</v>
      </c>
      <c r="B13" t="s">
        <v>4</v>
      </c>
      <c r="C13" t="s">
        <v>92</v>
      </c>
      <c r="D13" t="s">
        <v>403</v>
      </c>
      <c r="E13" t="s">
        <v>338</v>
      </c>
      <c r="F13" t="s">
        <v>86</v>
      </c>
      <c r="G13" t="s">
        <v>315</v>
      </c>
      <c r="H13">
        <v>28</v>
      </c>
      <c r="I13">
        <v>8.39</v>
      </c>
      <c r="J13">
        <v>4.43</v>
      </c>
      <c r="K13">
        <f>(I13*J13^2)^(1/3)</f>
        <v>5.480957961624326</v>
      </c>
      <c r="L13">
        <v>1.8939051918735894</v>
      </c>
      <c r="M13">
        <v>7.8399999999999997E-2</v>
      </c>
      <c r="N13">
        <v>12.861965287332028</v>
      </c>
      <c r="O13">
        <v>74</v>
      </c>
      <c r="P13">
        <v>69</v>
      </c>
      <c r="Q13">
        <v>0.93243243243243246</v>
      </c>
      <c r="R13">
        <v>0.62352306740000008</v>
      </c>
      <c r="S13">
        <v>3.2490125133787788E-2</v>
      </c>
    </row>
    <row r="14" spans="1:19" x14ac:dyDescent="0.25">
      <c r="A14" t="s">
        <v>5</v>
      </c>
      <c r="B14" t="s">
        <v>4</v>
      </c>
      <c r="C14" t="s">
        <v>10</v>
      </c>
      <c r="D14" t="s">
        <v>403</v>
      </c>
      <c r="E14" t="s">
        <v>347</v>
      </c>
      <c r="F14" t="s">
        <v>3</v>
      </c>
      <c r="G14" t="s">
        <v>317</v>
      </c>
      <c r="H14">
        <v>40</v>
      </c>
      <c r="I14">
        <v>10.28</v>
      </c>
      <c r="J14">
        <v>5.97</v>
      </c>
      <c r="K14">
        <f>(I14*J14^2)^(1/3)</f>
        <v>7.1556198306548628</v>
      </c>
      <c r="L14">
        <v>1.7219430485762144</v>
      </c>
      <c r="M14">
        <v>0.14940000000000001</v>
      </c>
      <c r="N14">
        <v>13.820699176076111</v>
      </c>
      <c r="O14">
        <v>233</v>
      </c>
      <c r="P14">
        <v>214</v>
      </c>
      <c r="Q14">
        <v>0.91845493562231761</v>
      </c>
      <c r="R14">
        <v>0.61472974140000003</v>
      </c>
      <c r="S14">
        <v>5.5304016651643174E-2</v>
      </c>
    </row>
    <row r="15" spans="1:19" x14ac:dyDescent="0.25">
      <c r="A15" t="s">
        <v>5</v>
      </c>
      <c r="B15" t="s">
        <v>4</v>
      </c>
      <c r="C15" t="s">
        <v>11</v>
      </c>
      <c r="D15" t="s">
        <v>403</v>
      </c>
      <c r="E15" t="s">
        <v>347</v>
      </c>
      <c r="F15" t="s">
        <v>3</v>
      </c>
      <c r="G15" t="s">
        <v>317</v>
      </c>
      <c r="H15">
        <v>35</v>
      </c>
      <c r="I15">
        <v>12.04</v>
      </c>
      <c r="J15">
        <v>6.11</v>
      </c>
      <c r="K15">
        <f>(I15*J15^2)^(1/3)</f>
        <v>7.6601328638271911</v>
      </c>
      <c r="L15">
        <v>1.9705400981996724</v>
      </c>
      <c r="M15">
        <v>0.16750000000000001</v>
      </c>
      <c r="N15">
        <v>9.9231171428840685</v>
      </c>
      <c r="O15">
        <v>172</v>
      </c>
      <c r="P15">
        <v>173</v>
      </c>
      <c r="Q15">
        <v>1.0058139534883721</v>
      </c>
      <c r="R15">
        <v>0.59191618629999998</v>
      </c>
      <c r="S15">
        <v>3.276951418020612E-2</v>
      </c>
    </row>
    <row r="16" spans="1:19" x14ac:dyDescent="0.25">
      <c r="A16" t="s">
        <v>5</v>
      </c>
      <c r="B16" t="s">
        <v>4</v>
      </c>
      <c r="C16" t="s">
        <v>12</v>
      </c>
      <c r="D16" t="s">
        <v>403</v>
      </c>
      <c r="E16" t="s">
        <v>347</v>
      </c>
      <c r="F16" t="s">
        <v>3</v>
      </c>
      <c r="G16" t="s">
        <v>317</v>
      </c>
      <c r="H16">
        <v>33</v>
      </c>
      <c r="I16">
        <v>9.2200000000000006</v>
      </c>
      <c r="J16">
        <v>5.0599999999999996</v>
      </c>
      <c r="K16">
        <f>(I16*J16^2)^(1/3)</f>
        <v>6.1803155789595881</v>
      </c>
      <c r="L16">
        <v>1.822134387351779</v>
      </c>
      <c r="M16">
        <v>9.9900000000000003E-2</v>
      </c>
      <c r="N16">
        <v>12.561002176260992</v>
      </c>
      <c r="O16">
        <v>86</v>
      </c>
      <c r="P16">
        <v>82</v>
      </c>
      <c r="Q16">
        <v>0.95348837209302328</v>
      </c>
      <c r="R16">
        <v>0.59812186840000003</v>
      </c>
      <c r="S16">
        <v>3.4021905447111166E-2</v>
      </c>
    </row>
    <row r="17" spans="1:19" x14ac:dyDescent="0.25">
      <c r="A17" t="s">
        <v>5</v>
      </c>
      <c r="B17" t="s">
        <v>4</v>
      </c>
      <c r="C17" t="s">
        <v>93</v>
      </c>
      <c r="D17" t="s">
        <v>403</v>
      </c>
      <c r="E17" t="s">
        <v>338</v>
      </c>
      <c r="F17" t="s">
        <v>86</v>
      </c>
      <c r="G17" t="s">
        <v>315</v>
      </c>
      <c r="H17">
        <v>35</v>
      </c>
      <c r="I17">
        <v>9.91</v>
      </c>
      <c r="J17">
        <v>5.79</v>
      </c>
      <c r="K17">
        <f>(I17*J17^2)^(1/3)</f>
        <v>6.9259113329251774</v>
      </c>
      <c r="L17">
        <v>1.7115716753022452</v>
      </c>
      <c r="M17">
        <v>0.1368</v>
      </c>
      <c r="N17">
        <v>14.033254186864973</v>
      </c>
      <c r="O17">
        <v>210</v>
      </c>
      <c r="P17">
        <v>161</v>
      </c>
      <c r="Q17">
        <v>0.76666666666666672</v>
      </c>
      <c r="R17">
        <v>0.63360112280000014</v>
      </c>
      <c r="S17">
        <v>3.1925552407994537E-2</v>
      </c>
    </row>
    <row r="18" spans="1:19" x14ac:dyDescent="0.25">
      <c r="A18" t="s">
        <v>5</v>
      </c>
      <c r="B18" t="s">
        <v>4</v>
      </c>
      <c r="C18" t="s">
        <v>94</v>
      </c>
      <c r="D18" t="s">
        <v>403</v>
      </c>
      <c r="E18" t="s">
        <v>338</v>
      </c>
      <c r="F18" t="s">
        <v>86</v>
      </c>
      <c r="G18" t="s">
        <v>315</v>
      </c>
      <c r="H18">
        <v>33</v>
      </c>
      <c r="I18">
        <v>10.17</v>
      </c>
      <c r="J18">
        <v>5.19</v>
      </c>
      <c r="K18">
        <f>(I18*J18^2)^(1/3)</f>
        <v>6.4945922438147363</v>
      </c>
      <c r="L18">
        <v>1.9595375722543351</v>
      </c>
      <c r="M18">
        <v>0.1069</v>
      </c>
      <c r="N18">
        <v>10.193718068357034</v>
      </c>
      <c r="O18">
        <v>130</v>
      </c>
      <c r="P18">
        <v>137</v>
      </c>
      <c r="Q18">
        <v>1.0538461538461539</v>
      </c>
      <c r="R18">
        <v>0.58586429740000001</v>
      </c>
      <c r="S18">
        <v>3.4112252763529395E-2</v>
      </c>
    </row>
    <row r="19" spans="1:19" x14ac:dyDescent="0.25">
      <c r="A19" t="s">
        <v>5</v>
      </c>
      <c r="B19" t="s">
        <v>4</v>
      </c>
      <c r="C19" s="3" t="s">
        <v>95</v>
      </c>
      <c r="D19" t="s">
        <v>403</v>
      </c>
      <c r="E19" t="s">
        <v>338</v>
      </c>
      <c r="F19" t="s">
        <v>86</v>
      </c>
      <c r="G19" t="s">
        <v>315</v>
      </c>
      <c r="H19">
        <v>24</v>
      </c>
      <c r="I19">
        <v>6.44</v>
      </c>
      <c r="J19">
        <v>3.7</v>
      </c>
      <c r="K19">
        <f>(I19*J19^2)^(1/3)</f>
        <v>4.4507148622212842</v>
      </c>
      <c r="L19">
        <v>1.7405405405405405</v>
      </c>
      <c r="M19">
        <v>3.9899999999999998E-2</v>
      </c>
      <c r="N19">
        <v>13.80113327291501</v>
      </c>
      <c r="O19">
        <v>15</v>
      </c>
      <c r="P19">
        <v>15</v>
      </c>
      <c r="Q19">
        <v>1</v>
      </c>
      <c r="R19">
        <v>0.56837920050000001</v>
      </c>
      <c r="S19">
        <v>5.0253039498098645E-2</v>
      </c>
    </row>
    <row r="20" spans="1:19" x14ac:dyDescent="0.25">
      <c r="A20" t="s">
        <v>5</v>
      </c>
      <c r="B20" t="s">
        <v>4</v>
      </c>
      <c r="C20" t="s">
        <v>96</v>
      </c>
      <c r="D20" t="s">
        <v>403</v>
      </c>
      <c r="E20" t="s">
        <v>338</v>
      </c>
      <c r="F20" t="s">
        <v>86</v>
      </c>
      <c r="G20" t="s">
        <v>315</v>
      </c>
      <c r="H20">
        <v>32</v>
      </c>
      <c r="I20">
        <v>9.43</v>
      </c>
      <c r="J20">
        <v>5.66</v>
      </c>
      <c r="K20">
        <f>(I20*J20^2)^(1/3)</f>
        <v>6.7098815206184357</v>
      </c>
      <c r="L20">
        <v>1.6660777385159009</v>
      </c>
      <c r="M20">
        <v>0.13950000000000001</v>
      </c>
      <c r="N20">
        <v>16.460811213588876</v>
      </c>
      <c r="O20">
        <v>129</v>
      </c>
      <c r="P20">
        <v>82</v>
      </c>
      <c r="Q20">
        <v>0.63565891472868219</v>
      </c>
      <c r="R20">
        <v>0.7060122483000002</v>
      </c>
      <c r="S20">
        <v>4.4772881018749711E-2</v>
      </c>
    </row>
    <row r="21" spans="1:19" x14ac:dyDescent="0.25">
      <c r="A21" t="s">
        <v>5</v>
      </c>
      <c r="B21" t="s">
        <v>4</v>
      </c>
      <c r="C21" t="s">
        <v>97</v>
      </c>
      <c r="D21" t="s">
        <v>403</v>
      </c>
      <c r="E21" t="s">
        <v>338</v>
      </c>
      <c r="F21" t="s">
        <v>86</v>
      </c>
      <c r="G21" t="s">
        <v>315</v>
      </c>
      <c r="H21">
        <v>26</v>
      </c>
      <c r="I21">
        <v>7.04</v>
      </c>
      <c r="J21">
        <v>3.9</v>
      </c>
      <c r="K21">
        <f>(I21*J21^2)^(1/3)</f>
        <v>4.7486186195474138</v>
      </c>
      <c r="L21">
        <v>1.8051282051282052</v>
      </c>
      <c r="M21">
        <v>5.1700000000000003E-2</v>
      </c>
      <c r="N21">
        <v>13.910272707512862</v>
      </c>
      <c r="O21">
        <v>33</v>
      </c>
      <c r="P21">
        <v>15</v>
      </c>
      <c r="Q21">
        <v>0.45454545454545453</v>
      </c>
      <c r="R21">
        <v>0.59334418970000014</v>
      </c>
      <c r="S21">
        <v>6.0865678659494077E-2</v>
      </c>
    </row>
    <row r="22" spans="1:19" x14ac:dyDescent="0.25">
      <c r="A22" t="s">
        <v>5</v>
      </c>
      <c r="B22" t="s">
        <v>4</v>
      </c>
      <c r="C22" t="s">
        <v>13</v>
      </c>
      <c r="D22" t="s">
        <v>403</v>
      </c>
      <c r="E22" t="s">
        <v>347</v>
      </c>
      <c r="F22" t="s">
        <v>3</v>
      </c>
      <c r="G22" t="s">
        <v>317</v>
      </c>
      <c r="H22">
        <v>35</v>
      </c>
      <c r="I22">
        <v>9.44</v>
      </c>
      <c r="J22">
        <v>5.67</v>
      </c>
      <c r="K22">
        <f>(I22*J22^2)^(1/3)</f>
        <v>6.7201562463670941</v>
      </c>
      <c r="L22">
        <v>1.6649029982363315</v>
      </c>
      <c r="M22">
        <v>0.12809999999999999</v>
      </c>
      <c r="N22">
        <v>15.070515424960265</v>
      </c>
      <c r="O22">
        <v>43</v>
      </c>
      <c r="P22">
        <v>36</v>
      </c>
      <c r="Q22">
        <v>0.83720930232558144</v>
      </c>
      <c r="R22">
        <v>0.63623268020000012</v>
      </c>
      <c r="S22">
        <v>5.7329821841298464E-2</v>
      </c>
    </row>
    <row r="23" spans="1:19" x14ac:dyDescent="0.25">
      <c r="A23" t="s">
        <v>5</v>
      </c>
      <c r="B23" t="s">
        <v>4</v>
      </c>
      <c r="C23" t="s">
        <v>14</v>
      </c>
      <c r="D23" t="s">
        <v>403</v>
      </c>
      <c r="E23" t="s">
        <v>347</v>
      </c>
      <c r="F23" t="s">
        <v>3</v>
      </c>
      <c r="G23" t="s">
        <v>317</v>
      </c>
      <c r="H23">
        <v>36</v>
      </c>
      <c r="I23">
        <v>10.26</v>
      </c>
      <c r="J23">
        <v>5.58</v>
      </c>
      <c r="K23">
        <f>(I23*J23^2)^(1/3)</f>
        <v>6.8360503513564614</v>
      </c>
      <c r="L23">
        <v>1.8387096774193548</v>
      </c>
      <c r="M23">
        <v>0.1273</v>
      </c>
      <c r="N23">
        <v>11.841121742558981</v>
      </c>
      <c r="O23">
        <v>49</v>
      </c>
      <c r="P23">
        <v>45</v>
      </c>
      <c r="Q23">
        <v>0.91836734693877553</v>
      </c>
      <c r="R23">
        <v>0.61222578510000003</v>
      </c>
      <c r="S23">
        <v>4.7393200077492648E-2</v>
      </c>
    </row>
    <row r="24" spans="1:19" x14ac:dyDescent="0.25">
      <c r="A24" t="s">
        <v>5</v>
      </c>
      <c r="B24" t="s">
        <v>4</v>
      </c>
      <c r="C24" t="s">
        <v>15</v>
      </c>
      <c r="D24" t="s">
        <v>403</v>
      </c>
      <c r="E24" t="s">
        <v>347</v>
      </c>
      <c r="F24" t="s">
        <v>3</v>
      </c>
      <c r="G24" t="s">
        <v>317</v>
      </c>
      <c r="H24">
        <v>37</v>
      </c>
      <c r="I24">
        <v>9.8800000000000008</v>
      </c>
      <c r="J24">
        <v>6.12</v>
      </c>
      <c r="K24">
        <f>(I24*J24^2)^(1/3)</f>
        <v>7.1793743037338382</v>
      </c>
      <c r="L24">
        <v>1.6143790849673203</v>
      </c>
      <c r="M24">
        <v>0.14990000000000001</v>
      </c>
      <c r="N24">
        <v>15.509116172427019</v>
      </c>
      <c r="O24">
        <v>188</v>
      </c>
      <c r="P24">
        <v>154</v>
      </c>
      <c r="Q24">
        <v>0.81914893617021278</v>
      </c>
      <c r="R24">
        <v>0.58983239610000004</v>
      </c>
      <c r="S24">
        <v>3.649264159937151E-2</v>
      </c>
    </row>
    <row r="25" spans="1:19" x14ac:dyDescent="0.25">
      <c r="A25" t="s">
        <v>5</v>
      </c>
      <c r="B25" t="s">
        <v>17</v>
      </c>
      <c r="C25" t="s">
        <v>98</v>
      </c>
      <c r="D25" t="s">
        <v>398</v>
      </c>
      <c r="E25" t="s">
        <v>330</v>
      </c>
      <c r="F25" t="s">
        <v>86</v>
      </c>
      <c r="G25" t="s">
        <v>315</v>
      </c>
      <c r="H25">
        <v>30</v>
      </c>
      <c r="I25">
        <v>9.15</v>
      </c>
      <c r="J25">
        <v>4.42</v>
      </c>
      <c r="K25">
        <f>(I25*J25^2)^(1/3)</f>
        <v>5.6332005228386626</v>
      </c>
      <c r="L25">
        <v>2.070135746606335</v>
      </c>
      <c r="M25">
        <v>0.06</v>
      </c>
      <c r="N25">
        <v>7.7080365462474205</v>
      </c>
      <c r="O25">
        <v>74</v>
      </c>
      <c r="P25">
        <v>73</v>
      </c>
      <c r="Q25">
        <v>0.98648648648648651</v>
      </c>
      <c r="R25">
        <v>0.66645948810000011</v>
      </c>
      <c r="S25">
        <v>5.1499493893786594E-2</v>
      </c>
    </row>
    <row r="26" spans="1:19" x14ac:dyDescent="0.25">
      <c r="A26" t="s">
        <v>5</v>
      </c>
      <c r="B26" t="s">
        <v>17</v>
      </c>
      <c r="C26" t="s">
        <v>16</v>
      </c>
      <c r="D26" t="s">
        <v>398</v>
      </c>
      <c r="E26" t="s">
        <v>334</v>
      </c>
      <c r="F26" t="s">
        <v>3</v>
      </c>
      <c r="G26" t="s">
        <v>317</v>
      </c>
      <c r="H26">
        <v>36</v>
      </c>
      <c r="I26">
        <v>10.43</v>
      </c>
      <c r="J26">
        <v>5.74</v>
      </c>
      <c r="K26">
        <f>(I26*J26^2)^(1/3)</f>
        <v>7.004374598890192</v>
      </c>
      <c r="L26">
        <v>1.8170731707317072</v>
      </c>
      <c r="M26">
        <v>0.15279999999999999</v>
      </c>
      <c r="N26">
        <v>13.569429984025707</v>
      </c>
      <c r="O26">
        <v>0</v>
      </c>
      <c r="P26">
        <v>0</v>
      </c>
      <c r="Q26">
        <v>0</v>
      </c>
      <c r="R26">
        <v>0.59747330399999998</v>
      </c>
      <c r="S26">
        <v>0.15826353804798632</v>
      </c>
    </row>
    <row r="27" spans="1:19" x14ac:dyDescent="0.25">
      <c r="A27" t="s">
        <v>5</v>
      </c>
      <c r="B27" t="s">
        <v>17</v>
      </c>
      <c r="C27" t="s">
        <v>18</v>
      </c>
      <c r="D27" t="s">
        <v>398</v>
      </c>
      <c r="E27" t="s">
        <v>334</v>
      </c>
      <c r="F27" t="s">
        <v>3</v>
      </c>
      <c r="G27" t="s">
        <v>317</v>
      </c>
      <c r="H27">
        <v>30</v>
      </c>
      <c r="I27">
        <v>7.97</v>
      </c>
      <c r="J27">
        <v>3.92</v>
      </c>
      <c r="K27">
        <f>(I27*J27^2)^(1/3)</f>
        <v>4.9660392963600239</v>
      </c>
      <c r="L27">
        <v>2.0331632653061225</v>
      </c>
      <c r="M27">
        <v>5.2499999999999998E-2</v>
      </c>
      <c r="N27">
        <v>9.9551277396821973</v>
      </c>
      <c r="O27">
        <v>49</v>
      </c>
      <c r="P27">
        <v>47</v>
      </c>
      <c r="Q27">
        <v>0.95918367346938771</v>
      </c>
      <c r="R27">
        <v>0.63425445066230923</v>
      </c>
      <c r="S27">
        <v>5.5388744964832801E-2</v>
      </c>
    </row>
    <row r="28" spans="1:19" x14ac:dyDescent="0.25">
      <c r="A28" t="s">
        <v>5</v>
      </c>
      <c r="B28" t="s">
        <v>17</v>
      </c>
      <c r="C28" s="3" t="s">
        <v>19</v>
      </c>
      <c r="D28" t="s">
        <v>398</v>
      </c>
      <c r="E28" t="s">
        <v>334</v>
      </c>
      <c r="F28" t="s">
        <v>3</v>
      </c>
      <c r="G28" t="s">
        <v>317</v>
      </c>
      <c r="H28">
        <v>22</v>
      </c>
      <c r="I28">
        <v>7.09</v>
      </c>
      <c r="J28">
        <v>3.97</v>
      </c>
      <c r="K28">
        <f>(I28*J28^2)^(1/3)</f>
        <v>4.8166203502581775</v>
      </c>
      <c r="L28">
        <v>1.7858942065491183</v>
      </c>
      <c r="M28">
        <v>4.5600000000000002E-2</v>
      </c>
      <c r="N28">
        <v>12.026588720998264</v>
      </c>
      <c r="O28">
        <v>17</v>
      </c>
      <c r="P28">
        <v>1</v>
      </c>
      <c r="Q28">
        <v>5.8823529411764705E-2</v>
      </c>
      <c r="R28">
        <v>0.63890018730000009</v>
      </c>
      <c r="S28">
        <v>4.1699685410661824E-2</v>
      </c>
    </row>
    <row r="29" spans="1:19" x14ac:dyDescent="0.25">
      <c r="A29" t="s">
        <v>5</v>
      </c>
      <c r="B29" t="s">
        <v>17</v>
      </c>
      <c r="C29" t="s">
        <v>99</v>
      </c>
      <c r="D29" t="s">
        <v>398</v>
      </c>
      <c r="E29" t="s">
        <v>330</v>
      </c>
      <c r="F29" t="s">
        <v>86</v>
      </c>
      <c r="G29" t="s">
        <v>315</v>
      </c>
      <c r="H29">
        <v>30</v>
      </c>
      <c r="I29">
        <v>9.1300000000000008</v>
      </c>
      <c r="J29">
        <v>4.84</v>
      </c>
      <c r="K29">
        <f>(I29*J29^2)^(1/3)</f>
        <v>5.9802659807198504</v>
      </c>
      <c r="L29">
        <v>1.8863636363636367</v>
      </c>
      <c r="M29">
        <v>8.5300000000000001E-2</v>
      </c>
      <c r="N29">
        <v>11.026087599579489</v>
      </c>
      <c r="O29">
        <v>74</v>
      </c>
      <c r="P29">
        <v>75</v>
      </c>
      <c r="Q29">
        <v>1.0135135135135136</v>
      </c>
      <c r="R29">
        <v>0.61478535960000003</v>
      </c>
      <c r="S29">
        <v>3.9843820360762575E-2</v>
      </c>
    </row>
    <row r="30" spans="1:19" x14ac:dyDescent="0.25">
      <c r="A30" t="s">
        <v>5</v>
      </c>
      <c r="B30" t="s">
        <v>17</v>
      </c>
      <c r="C30" t="s">
        <v>100</v>
      </c>
      <c r="D30" t="s">
        <v>398</v>
      </c>
      <c r="E30" t="s">
        <v>330</v>
      </c>
      <c r="F30" t="s">
        <v>86</v>
      </c>
      <c r="G30" t="s">
        <v>315</v>
      </c>
      <c r="H30">
        <v>20</v>
      </c>
      <c r="I30">
        <v>6.84</v>
      </c>
      <c r="J30">
        <v>3.56</v>
      </c>
      <c r="K30">
        <f>(I30*J30^2)^(1/3)</f>
        <v>4.4257345902920129</v>
      </c>
      <c r="L30">
        <v>1.9213483146067416</v>
      </c>
      <c r="M30">
        <v>3.2599999999999997E-2</v>
      </c>
      <c r="N30">
        <v>9.5139177651693672</v>
      </c>
      <c r="O30">
        <v>10</v>
      </c>
      <c r="P30">
        <v>9</v>
      </c>
      <c r="Q30">
        <v>0.9</v>
      </c>
      <c r="R30">
        <v>0.62916656829999995</v>
      </c>
      <c r="S30">
        <v>7.1494713540464883E-2</v>
      </c>
    </row>
    <row r="31" spans="1:19" x14ac:dyDescent="0.25">
      <c r="A31" t="s">
        <v>5</v>
      </c>
      <c r="B31" t="s">
        <v>17</v>
      </c>
      <c r="C31" t="s">
        <v>101</v>
      </c>
      <c r="D31" t="s">
        <v>398</v>
      </c>
      <c r="E31" t="s">
        <v>330</v>
      </c>
      <c r="F31" t="s">
        <v>86</v>
      </c>
      <c r="G31" t="s">
        <v>315</v>
      </c>
      <c r="H31">
        <v>20</v>
      </c>
      <c r="I31">
        <v>7.5</v>
      </c>
      <c r="J31">
        <v>4.04</v>
      </c>
      <c r="K31">
        <f>(I31*J31^2)^(1/3)</f>
        <v>4.9652524137709602</v>
      </c>
      <c r="L31">
        <v>1.8564356435643565</v>
      </c>
      <c r="M31">
        <v>5.2999999999999999E-2</v>
      </c>
      <c r="N31">
        <v>11.928974407220293</v>
      </c>
      <c r="O31">
        <v>29</v>
      </c>
      <c r="P31">
        <v>28</v>
      </c>
      <c r="Q31">
        <v>0.96551724137931039</v>
      </c>
      <c r="R31">
        <v>0.59421637189999998</v>
      </c>
      <c r="S31">
        <v>4.1195598627892779E-2</v>
      </c>
    </row>
    <row r="32" spans="1:19" x14ac:dyDescent="0.25">
      <c r="A32" t="s">
        <v>5</v>
      </c>
      <c r="B32" t="s">
        <v>17</v>
      </c>
      <c r="C32" t="s">
        <v>102</v>
      </c>
      <c r="D32" t="s">
        <v>398</v>
      </c>
      <c r="E32" t="s">
        <v>330</v>
      </c>
      <c r="F32" t="s">
        <v>86</v>
      </c>
      <c r="G32" t="s">
        <v>315</v>
      </c>
      <c r="H32">
        <v>20</v>
      </c>
      <c r="I32">
        <v>6.81</v>
      </c>
      <c r="J32">
        <v>3.59</v>
      </c>
      <c r="K32">
        <f>(I32*J32^2)^(1/3)</f>
        <v>4.444047269345706</v>
      </c>
      <c r="L32">
        <v>1.8969359331476323</v>
      </c>
      <c r="M32">
        <v>3.6600000000000001E-2</v>
      </c>
      <c r="N32">
        <v>10.814494641957923</v>
      </c>
      <c r="O32">
        <v>7</v>
      </c>
      <c r="P32">
        <v>6</v>
      </c>
      <c r="Q32">
        <v>0.8571428571428571</v>
      </c>
      <c r="R32">
        <v>0.64979389028571433</v>
      </c>
      <c r="S32">
        <v>0.10522420342930179</v>
      </c>
    </row>
    <row r="33" spans="1:19" x14ac:dyDescent="0.25">
      <c r="A33" t="s">
        <v>5</v>
      </c>
      <c r="B33" t="s">
        <v>17</v>
      </c>
      <c r="C33" t="s">
        <v>103</v>
      </c>
      <c r="D33" t="s">
        <v>398</v>
      </c>
      <c r="E33" t="s">
        <v>330</v>
      </c>
      <c r="F33" t="s">
        <v>86</v>
      </c>
      <c r="G33" t="s">
        <v>315</v>
      </c>
      <c r="H33">
        <v>35</v>
      </c>
      <c r="I33">
        <v>9.6999999999999993</v>
      </c>
      <c r="J33">
        <v>4.79</v>
      </c>
      <c r="K33">
        <f>(I33*J33^2)^(1/3)</f>
        <v>6.0601157634905523</v>
      </c>
      <c r="L33">
        <v>2.0250521920668056</v>
      </c>
      <c r="M33">
        <v>9.1700000000000004E-2</v>
      </c>
      <c r="N33">
        <v>9.9924744169535611</v>
      </c>
      <c r="O33">
        <v>152</v>
      </c>
      <c r="P33">
        <v>138</v>
      </c>
      <c r="Q33">
        <v>0.90789473684210531</v>
      </c>
      <c r="R33">
        <v>0.60198258930236626</v>
      </c>
      <c r="S33">
        <v>5.2499554755585792E-2</v>
      </c>
    </row>
    <row r="34" spans="1:19" x14ac:dyDescent="0.25">
      <c r="A34" t="s">
        <v>5</v>
      </c>
      <c r="B34" t="s">
        <v>17</v>
      </c>
      <c r="C34" t="s">
        <v>20</v>
      </c>
      <c r="D34" t="s">
        <v>398</v>
      </c>
      <c r="E34" t="s">
        <v>334</v>
      </c>
      <c r="F34" t="s">
        <v>3</v>
      </c>
      <c r="G34" t="s">
        <v>317</v>
      </c>
      <c r="H34">
        <v>30</v>
      </c>
      <c r="I34">
        <v>7.91</v>
      </c>
      <c r="J34">
        <v>4.57</v>
      </c>
      <c r="K34">
        <f>(I34*J34^2)^(1/3)</f>
        <v>5.4870168585796693</v>
      </c>
      <c r="L34">
        <v>1.7308533916849014</v>
      </c>
      <c r="M34">
        <v>6.4000000000000001E-2</v>
      </c>
      <c r="N34">
        <v>12.397162403430636</v>
      </c>
      <c r="O34">
        <v>9</v>
      </c>
      <c r="P34">
        <v>9</v>
      </c>
      <c r="Q34">
        <v>1</v>
      </c>
      <c r="R34">
        <v>0.76543481555555548</v>
      </c>
      <c r="S34">
        <v>6.7619516842761462E-2</v>
      </c>
    </row>
    <row r="35" spans="1:19" x14ac:dyDescent="0.25">
      <c r="A35" t="s">
        <v>5</v>
      </c>
      <c r="B35" t="s">
        <v>17</v>
      </c>
      <c r="C35" s="3" t="s">
        <v>21</v>
      </c>
      <c r="D35" t="s">
        <v>398</v>
      </c>
      <c r="E35" t="s">
        <v>334</v>
      </c>
      <c r="F35" t="s">
        <v>3</v>
      </c>
      <c r="G35" t="s">
        <v>317</v>
      </c>
      <c r="H35">
        <v>23</v>
      </c>
      <c r="I35">
        <v>5.33</v>
      </c>
      <c r="J35">
        <v>2.8</v>
      </c>
      <c r="K35">
        <f>(I35*J35^2)^(1/3)</f>
        <v>3.4701460792758088</v>
      </c>
      <c r="L35">
        <v>1.9035714285714287</v>
      </c>
      <c r="M35">
        <v>1.5900000000000001E-2</v>
      </c>
      <c r="N35">
        <v>9.376189903234259</v>
      </c>
      <c r="O35">
        <v>20</v>
      </c>
      <c r="P35">
        <v>0</v>
      </c>
      <c r="Q35">
        <v>0</v>
      </c>
      <c r="R35">
        <v>0.63123653091941256</v>
      </c>
      <c r="S35">
        <v>3.1279826407719279E-2</v>
      </c>
    </row>
    <row r="36" spans="1:19" x14ac:dyDescent="0.25">
      <c r="A36" t="s">
        <v>5</v>
      </c>
      <c r="B36" t="s">
        <v>17</v>
      </c>
      <c r="C36" t="s">
        <v>22</v>
      </c>
      <c r="D36" t="s">
        <v>398</v>
      </c>
      <c r="E36" t="s">
        <v>334</v>
      </c>
      <c r="F36" t="s">
        <v>3</v>
      </c>
      <c r="G36" t="s">
        <v>317</v>
      </c>
      <c r="H36">
        <v>36</v>
      </c>
      <c r="I36">
        <v>9.36</v>
      </c>
      <c r="J36">
        <v>5.5</v>
      </c>
      <c r="K36">
        <f>(I36*J36^2)^(1/3)</f>
        <v>6.5664968849343852</v>
      </c>
      <c r="L36">
        <v>1.7018181818181817</v>
      </c>
      <c r="M36">
        <v>0.1206</v>
      </c>
      <c r="N36">
        <v>14.532803932518727</v>
      </c>
      <c r="O36">
        <v>76</v>
      </c>
      <c r="P36">
        <v>56</v>
      </c>
      <c r="Q36">
        <v>0.73684210526315785</v>
      </c>
      <c r="R36">
        <v>0.70411408609999993</v>
      </c>
      <c r="S36">
        <v>3.3510596858138196E-2</v>
      </c>
    </row>
    <row r="37" spans="1:19" x14ac:dyDescent="0.25">
      <c r="A37" t="s">
        <v>5</v>
      </c>
      <c r="B37" t="s">
        <v>24</v>
      </c>
      <c r="C37" t="s">
        <v>104</v>
      </c>
      <c r="D37" t="s">
        <v>404</v>
      </c>
      <c r="E37" t="s">
        <v>341</v>
      </c>
      <c r="F37" t="s">
        <v>86</v>
      </c>
      <c r="G37" t="s">
        <v>315</v>
      </c>
      <c r="H37">
        <v>27</v>
      </c>
      <c r="I37">
        <v>8.1999999999999993</v>
      </c>
      <c r="J37">
        <v>4.07</v>
      </c>
      <c r="K37">
        <f>(I37*J37^2)^(1/3)</f>
        <v>5.1404470534264881</v>
      </c>
      <c r="L37">
        <v>2.0147420147420143</v>
      </c>
      <c r="M37">
        <v>5.74E-2</v>
      </c>
      <c r="N37">
        <v>10.045159307588222</v>
      </c>
      <c r="O37">
        <v>44</v>
      </c>
      <c r="P37">
        <v>42</v>
      </c>
      <c r="Q37">
        <v>0.95454545454545459</v>
      </c>
      <c r="R37">
        <v>0.61520441879999999</v>
      </c>
      <c r="S37">
        <v>3.9879502873855117E-2</v>
      </c>
    </row>
    <row r="38" spans="1:19" x14ac:dyDescent="0.25">
      <c r="A38" t="s">
        <v>5</v>
      </c>
      <c r="B38" t="s">
        <v>24</v>
      </c>
      <c r="C38" t="s">
        <v>23</v>
      </c>
      <c r="D38" t="s">
        <v>404</v>
      </c>
      <c r="E38" t="s">
        <v>343</v>
      </c>
      <c r="F38" t="s">
        <v>3</v>
      </c>
      <c r="G38" t="s">
        <v>317</v>
      </c>
      <c r="H38">
        <v>27</v>
      </c>
      <c r="I38">
        <v>8.94</v>
      </c>
      <c r="J38">
        <v>4.4800000000000004</v>
      </c>
      <c r="K38">
        <f>(I38*J38^2)^(1/3)</f>
        <v>5.6402434380110771</v>
      </c>
      <c r="L38">
        <v>1.995535714285714</v>
      </c>
      <c r="M38">
        <v>7.1499999999999994E-2</v>
      </c>
      <c r="N38">
        <v>9.8069562710380342</v>
      </c>
      <c r="O38">
        <v>42</v>
      </c>
      <c r="P38">
        <v>42</v>
      </c>
      <c r="Q38">
        <v>1</v>
      </c>
      <c r="R38">
        <v>0.66655217189999993</v>
      </c>
      <c r="S38">
        <v>5.6242377091507617E-2</v>
      </c>
    </row>
    <row r="39" spans="1:19" x14ac:dyDescent="0.25">
      <c r="A39" t="s">
        <v>5</v>
      </c>
      <c r="B39" t="s">
        <v>24</v>
      </c>
      <c r="C39" t="s">
        <v>25</v>
      </c>
      <c r="D39" t="s">
        <v>404</v>
      </c>
      <c r="E39" t="s">
        <v>343</v>
      </c>
      <c r="F39" t="s">
        <v>3</v>
      </c>
      <c r="G39" t="s">
        <v>317</v>
      </c>
      <c r="H39">
        <v>39</v>
      </c>
      <c r="I39">
        <v>10.050000000000001</v>
      </c>
      <c r="J39">
        <v>5.76</v>
      </c>
      <c r="K39">
        <f>(I39*J39^2)^(1/3)</f>
        <v>6.9343167572829945</v>
      </c>
      <c r="L39">
        <v>1.744791666666667</v>
      </c>
      <c r="M39">
        <v>0.14480000000000001</v>
      </c>
      <c r="N39">
        <v>14.277766254150642</v>
      </c>
      <c r="O39">
        <v>144</v>
      </c>
      <c r="P39">
        <v>132</v>
      </c>
      <c r="Q39">
        <v>0.91666666666666663</v>
      </c>
      <c r="R39">
        <v>0.64176668100000001</v>
      </c>
      <c r="S39">
        <v>3.7307261965802224E-2</v>
      </c>
    </row>
    <row r="40" spans="1:19" x14ac:dyDescent="0.25">
      <c r="A40" t="s">
        <v>5</v>
      </c>
      <c r="B40" t="s">
        <v>24</v>
      </c>
      <c r="C40" t="s">
        <v>26</v>
      </c>
      <c r="D40" t="s">
        <v>404</v>
      </c>
      <c r="E40" t="s">
        <v>343</v>
      </c>
      <c r="F40" t="s">
        <v>3</v>
      </c>
      <c r="G40" t="s">
        <v>317</v>
      </c>
      <c r="H40">
        <v>40</v>
      </c>
      <c r="I40">
        <v>12.95</v>
      </c>
      <c r="J40">
        <v>6.29</v>
      </c>
      <c r="K40">
        <f>(I40*J40^2)^(1/3)</f>
        <v>8.0018490257300545</v>
      </c>
      <c r="L40">
        <v>2.0588235294117645</v>
      </c>
      <c r="M40">
        <v>0.21299999999999999</v>
      </c>
      <c r="N40">
        <v>10.274929637101014</v>
      </c>
      <c r="O40">
        <v>49</v>
      </c>
      <c r="P40">
        <v>49</v>
      </c>
      <c r="Q40">
        <v>1</v>
      </c>
      <c r="R40">
        <v>0.5686764902</v>
      </c>
      <c r="S40">
        <v>4.805254418712198E-2</v>
      </c>
    </row>
    <row r="41" spans="1:19" x14ac:dyDescent="0.25">
      <c r="A41" t="s">
        <v>5</v>
      </c>
      <c r="B41" t="s">
        <v>24</v>
      </c>
      <c r="C41" t="s">
        <v>105</v>
      </c>
      <c r="D41" t="s">
        <v>404</v>
      </c>
      <c r="E41" t="s">
        <v>341</v>
      </c>
      <c r="F41" t="s">
        <v>86</v>
      </c>
      <c r="G41" t="s">
        <v>315</v>
      </c>
      <c r="H41">
        <v>39</v>
      </c>
      <c r="I41">
        <v>9.65</v>
      </c>
      <c r="J41">
        <v>5.43</v>
      </c>
      <c r="K41">
        <f>(I41*J41^2)^(1/3)</f>
        <v>6.5772193253082261</v>
      </c>
      <c r="L41">
        <v>1.7771639042357277</v>
      </c>
      <c r="M41">
        <v>0.1201</v>
      </c>
      <c r="N41">
        <v>13.279324503384403</v>
      </c>
      <c r="O41">
        <v>31</v>
      </c>
      <c r="P41">
        <v>28</v>
      </c>
      <c r="Q41">
        <v>0.90322580645161288</v>
      </c>
      <c r="R41">
        <v>0.65215838859999997</v>
      </c>
      <c r="S41">
        <v>1.870115283296701E-2</v>
      </c>
    </row>
    <row r="42" spans="1:19" x14ac:dyDescent="0.25">
      <c r="A42" t="s">
        <v>5</v>
      </c>
      <c r="B42" t="s">
        <v>24</v>
      </c>
      <c r="C42" t="s">
        <v>106</v>
      </c>
      <c r="D42" t="s">
        <v>404</v>
      </c>
      <c r="E42" t="s">
        <v>341</v>
      </c>
      <c r="F42" t="s">
        <v>86</v>
      </c>
      <c r="G42" t="s">
        <v>315</v>
      </c>
      <c r="H42">
        <v>34</v>
      </c>
      <c r="I42">
        <v>8.9499999999999993</v>
      </c>
      <c r="J42">
        <v>5.23</v>
      </c>
      <c r="K42">
        <f>(I42*J42^2)^(1/3)</f>
        <v>6.2556936276416657</v>
      </c>
      <c r="L42">
        <v>1.7112810707456976</v>
      </c>
      <c r="M42">
        <v>0.1104</v>
      </c>
      <c r="N42">
        <v>15.094826089766091</v>
      </c>
      <c r="O42">
        <v>94</v>
      </c>
      <c r="P42">
        <v>92</v>
      </c>
      <c r="Q42">
        <v>0.97872340425531912</v>
      </c>
      <c r="R42">
        <v>0.70877900240000002</v>
      </c>
      <c r="S42">
        <v>3.3730294124144647E-2</v>
      </c>
    </row>
    <row r="43" spans="1:19" x14ac:dyDescent="0.25">
      <c r="A43" t="s">
        <v>5</v>
      </c>
      <c r="B43" t="s">
        <v>24</v>
      </c>
      <c r="C43" t="s">
        <v>107</v>
      </c>
      <c r="D43" t="s">
        <v>404</v>
      </c>
      <c r="E43" t="s">
        <v>341</v>
      </c>
      <c r="F43" t="s">
        <v>86</v>
      </c>
      <c r="G43" t="s">
        <v>315</v>
      </c>
      <c r="H43">
        <v>60</v>
      </c>
      <c r="I43">
        <v>13.21</v>
      </c>
      <c r="J43">
        <v>7.01</v>
      </c>
      <c r="K43">
        <f>(I43*J43^2)^(1/3)</f>
        <v>8.6585722364265436</v>
      </c>
      <c r="L43">
        <v>1.8844507845934382</v>
      </c>
      <c r="M43">
        <v>0.31159999999999999</v>
      </c>
      <c r="N43">
        <v>14.211879068054547</v>
      </c>
      <c r="O43">
        <v>86</v>
      </c>
      <c r="P43">
        <v>67</v>
      </c>
      <c r="Q43">
        <v>0.77906976744186052</v>
      </c>
      <c r="R43">
        <v>0.69144609879999996</v>
      </c>
      <c r="S43">
        <v>7.7254589144405264E-2</v>
      </c>
    </row>
    <row r="44" spans="1:19" x14ac:dyDescent="0.25">
      <c r="A44" t="s">
        <v>5</v>
      </c>
      <c r="B44" t="s">
        <v>24</v>
      </c>
      <c r="C44" t="s">
        <v>108</v>
      </c>
      <c r="D44" t="s">
        <v>404</v>
      </c>
      <c r="E44" t="s">
        <v>341</v>
      </c>
      <c r="F44" t="s">
        <v>86</v>
      </c>
      <c r="G44" t="s">
        <v>315</v>
      </c>
      <c r="H44">
        <v>32</v>
      </c>
      <c r="I44">
        <v>10.66</v>
      </c>
      <c r="J44">
        <v>5.45</v>
      </c>
      <c r="K44">
        <f>(I44*J44^2)^(1/3)</f>
        <v>6.8157984027571983</v>
      </c>
      <c r="L44">
        <v>1.9559633027522936</v>
      </c>
      <c r="M44">
        <v>0.1298</v>
      </c>
      <c r="N44">
        <v>10.839253547175906</v>
      </c>
      <c r="O44">
        <v>101</v>
      </c>
      <c r="P44">
        <v>103</v>
      </c>
      <c r="Q44">
        <v>1.0198019801980198</v>
      </c>
      <c r="R44">
        <v>0.66786055480000006</v>
      </c>
      <c r="S44">
        <v>3.132505230957424E-2</v>
      </c>
    </row>
    <row r="45" spans="1:19" x14ac:dyDescent="0.25">
      <c r="A45" t="s">
        <v>5</v>
      </c>
      <c r="B45" t="s">
        <v>24</v>
      </c>
      <c r="C45" t="s">
        <v>109</v>
      </c>
      <c r="D45" t="s">
        <v>404</v>
      </c>
      <c r="E45" t="s">
        <v>341</v>
      </c>
      <c r="F45" t="s">
        <v>86</v>
      </c>
      <c r="G45" t="s">
        <v>315</v>
      </c>
      <c r="H45">
        <v>30</v>
      </c>
      <c r="I45">
        <v>8.94</v>
      </c>
      <c r="J45">
        <v>4.49</v>
      </c>
      <c r="K45">
        <f>(I45*J45^2)^(1/3)</f>
        <v>5.6486335380290917</v>
      </c>
      <c r="L45">
        <v>1.9910913140311801</v>
      </c>
      <c r="M45">
        <v>8.0100000000000005E-2</v>
      </c>
      <c r="N45">
        <v>10.986534228113937</v>
      </c>
      <c r="O45">
        <v>47</v>
      </c>
      <c r="P45">
        <v>42</v>
      </c>
      <c r="Q45">
        <v>0.8936170212765957</v>
      </c>
      <c r="R45">
        <v>0.63190024219999996</v>
      </c>
      <c r="S45">
        <v>4.8078230559146611E-2</v>
      </c>
    </row>
    <row r="46" spans="1:19" x14ac:dyDescent="0.25">
      <c r="A46" t="s">
        <v>5</v>
      </c>
      <c r="B46" t="s">
        <v>24</v>
      </c>
      <c r="C46" t="s">
        <v>27</v>
      </c>
      <c r="D46" t="s">
        <v>404</v>
      </c>
      <c r="E46" t="s">
        <v>343</v>
      </c>
      <c r="F46" t="s">
        <v>3</v>
      </c>
      <c r="G46" t="s">
        <v>317</v>
      </c>
      <c r="H46">
        <v>46</v>
      </c>
      <c r="I46">
        <v>12.84</v>
      </c>
      <c r="J46">
        <v>6.47</v>
      </c>
      <c r="K46">
        <f>(I46*J46^2)^(1/3)</f>
        <v>8.1306361827781792</v>
      </c>
      <c r="L46">
        <v>1.9845440494590418</v>
      </c>
      <c r="M46">
        <v>0.21690000000000001</v>
      </c>
      <c r="N46">
        <v>10.717813239523419</v>
      </c>
      <c r="O46">
        <v>198</v>
      </c>
      <c r="P46">
        <v>188</v>
      </c>
      <c r="Q46">
        <v>0.9494949494949495</v>
      </c>
      <c r="R46">
        <v>0.67808045110000004</v>
      </c>
      <c r="S46">
        <v>3.4234274607848128E-2</v>
      </c>
    </row>
    <row r="47" spans="1:19" x14ac:dyDescent="0.25">
      <c r="A47" t="s">
        <v>5</v>
      </c>
      <c r="B47" t="s">
        <v>24</v>
      </c>
      <c r="C47" t="s">
        <v>28</v>
      </c>
      <c r="D47" t="s">
        <v>404</v>
      </c>
      <c r="E47" t="s">
        <v>343</v>
      </c>
      <c r="F47" t="s">
        <v>3</v>
      </c>
      <c r="G47" t="s">
        <v>317</v>
      </c>
      <c r="H47">
        <v>42</v>
      </c>
      <c r="I47">
        <v>11.33</v>
      </c>
      <c r="J47">
        <v>6.34</v>
      </c>
      <c r="K47">
        <f>(I47*J47^2)^(1/3)</f>
        <v>7.693715837482598</v>
      </c>
      <c r="L47">
        <v>1.7870662460567823</v>
      </c>
      <c r="M47">
        <v>0.18110000000000001</v>
      </c>
      <c r="N47">
        <v>12.73474064283513</v>
      </c>
      <c r="O47">
        <v>63</v>
      </c>
      <c r="P47">
        <v>47</v>
      </c>
      <c r="Q47">
        <v>0.74603174603174605</v>
      </c>
      <c r="R47">
        <v>0.65690865211496263</v>
      </c>
      <c r="S47">
        <v>5.2527465855346053E-2</v>
      </c>
    </row>
    <row r="48" spans="1:19" x14ac:dyDescent="0.25">
      <c r="A48" t="s">
        <v>5</v>
      </c>
      <c r="B48" t="s">
        <v>24</v>
      </c>
      <c r="C48" t="s">
        <v>29</v>
      </c>
      <c r="D48" t="s">
        <v>404</v>
      </c>
      <c r="E48" t="s">
        <v>343</v>
      </c>
      <c r="F48" t="s">
        <v>3</v>
      </c>
      <c r="G48" t="s">
        <v>317</v>
      </c>
      <c r="H48">
        <v>48</v>
      </c>
      <c r="I48">
        <v>12.55</v>
      </c>
      <c r="J48">
        <v>6.4</v>
      </c>
      <c r="K48">
        <f>(I48*J48^2)^(1/3)</f>
        <v>8.0106524759653492</v>
      </c>
      <c r="L48">
        <v>1.9609375</v>
      </c>
      <c r="M48">
        <v>0.21970000000000001</v>
      </c>
      <c r="N48">
        <v>11.578565321848973</v>
      </c>
      <c r="O48">
        <v>149</v>
      </c>
      <c r="P48">
        <v>156</v>
      </c>
      <c r="Q48">
        <v>1.0469798657718121</v>
      </c>
      <c r="R48">
        <v>0.63503979149999989</v>
      </c>
      <c r="S48">
        <v>3.1140868117765581E-2</v>
      </c>
    </row>
    <row r="49" spans="1:19" x14ac:dyDescent="0.25">
      <c r="A49" t="s">
        <v>5</v>
      </c>
      <c r="B49" t="s">
        <v>31</v>
      </c>
      <c r="C49" t="s">
        <v>110</v>
      </c>
      <c r="D49" t="s">
        <v>405</v>
      </c>
      <c r="E49" t="s">
        <v>342</v>
      </c>
      <c r="F49" t="s">
        <v>86</v>
      </c>
      <c r="G49" t="s">
        <v>315</v>
      </c>
      <c r="H49">
        <v>29</v>
      </c>
      <c r="I49">
        <v>9.59</v>
      </c>
      <c r="J49">
        <v>5.21</v>
      </c>
      <c r="K49">
        <f>(I49*J49^2)^(1/3)</f>
        <v>6.3850556177901368</v>
      </c>
      <c r="L49">
        <v>1.8406909788867563</v>
      </c>
      <c r="M49">
        <v>9.5000000000000001E-2</v>
      </c>
      <c r="N49">
        <v>10.690428988984372</v>
      </c>
      <c r="O49">
        <v>103</v>
      </c>
      <c r="P49">
        <v>99</v>
      </c>
      <c r="Q49">
        <v>0.96116504854368934</v>
      </c>
      <c r="R49">
        <v>0.63962678179999988</v>
      </c>
      <c r="S49">
        <v>3.388726515729943E-2</v>
      </c>
    </row>
    <row r="50" spans="1:19" x14ac:dyDescent="0.25">
      <c r="A50" t="s">
        <v>5</v>
      </c>
      <c r="B50" t="s">
        <v>31</v>
      </c>
      <c r="C50" t="s">
        <v>30</v>
      </c>
      <c r="D50" t="s">
        <v>405</v>
      </c>
      <c r="E50" t="s">
        <v>344</v>
      </c>
      <c r="F50" t="s">
        <v>3</v>
      </c>
      <c r="G50" t="s">
        <v>317</v>
      </c>
      <c r="H50">
        <v>36</v>
      </c>
      <c r="I50">
        <v>10.9</v>
      </c>
      <c r="J50">
        <v>6.73</v>
      </c>
      <c r="K50">
        <f>(I50*J50^2)^(1/3)</f>
        <v>7.9034894054771359</v>
      </c>
      <c r="L50">
        <v>1.6196136701337296</v>
      </c>
      <c r="M50">
        <v>0.2087</v>
      </c>
      <c r="N50">
        <v>16.367401080959549</v>
      </c>
      <c r="O50">
        <v>134</v>
      </c>
      <c r="P50">
        <v>159</v>
      </c>
      <c r="Q50">
        <v>1.1865671641791045</v>
      </c>
      <c r="R50">
        <v>0.65776649470000004</v>
      </c>
      <c r="S50">
        <v>3.5330552971508555E-2</v>
      </c>
    </row>
    <row r="51" spans="1:19" x14ac:dyDescent="0.25">
      <c r="A51" t="s">
        <v>5</v>
      </c>
      <c r="B51" t="s">
        <v>31</v>
      </c>
      <c r="C51" t="s">
        <v>32</v>
      </c>
      <c r="D51" t="s">
        <v>405</v>
      </c>
      <c r="E51" t="s">
        <v>344</v>
      </c>
      <c r="F51" t="s">
        <v>3</v>
      </c>
      <c r="G51" t="s">
        <v>317</v>
      </c>
      <c r="H51">
        <v>28</v>
      </c>
      <c r="I51">
        <v>9.23</v>
      </c>
      <c r="J51">
        <v>5.09</v>
      </c>
      <c r="K51">
        <f>(I51*J51^2)^(1/3)</f>
        <v>6.2069620284731082</v>
      </c>
      <c r="L51">
        <v>1.8133595284872299</v>
      </c>
      <c r="M51">
        <v>9.3799999999999994E-2</v>
      </c>
      <c r="N51">
        <v>11.758015855316874</v>
      </c>
      <c r="O51">
        <v>45</v>
      </c>
      <c r="P51">
        <v>45</v>
      </c>
      <c r="Q51">
        <v>1</v>
      </c>
      <c r="R51">
        <v>0.66825142439999996</v>
      </c>
      <c r="S51">
        <v>5.558486250578544E-2</v>
      </c>
    </row>
    <row r="52" spans="1:19" x14ac:dyDescent="0.25">
      <c r="A52" t="s">
        <v>5</v>
      </c>
      <c r="B52" t="s">
        <v>31</v>
      </c>
      <c r="C52" t="s">
        <v>33</v>
      </c>
      <c r="D52" t="s">
        <v>405</v>
      </c>
      <c r="E52" t="s">
        <v>344</v>
      </c>
      <c r="F52" t="s">
        <v>3</v>
      </c>
      <c r="G52" t="s">
        <v>317</v>
      </c>
      <c r="H52">
        <v>31</v>
      </c>
      <c r="I52">
        <v>8.0500000000000007</v>
      </c>
      <c r="J52">
        <v>5.07</v>
      </c>
      <c r="K52">
        <f>(I52*J52^2)^(1/3)</f>
        <v>5.9147618951772651</v>
      </c>
      <c r="L52">
        <v>1.5877712031558187</v>
      </c>
      <c r="M52">
        <v>9.3100000000000002E-2</v>
      </c>
      <c r="N52">
        <v>17.163478026134914</v>
      </c>
      <c r="O52">
        <v>96</v>
      </c>
      <c r="P52">
        <v>72</v>
      </c>
      <c r="Q52">
        <v>0.75</v>
      </c>
      <c r="R52">
        <v>0.65417344020000001</v>
      </c>
      <c r="S52">
        <v>3.620237290028451E-2</v>
      </c>
    </row>
    <row r="53" spans="1:19" x14ac:dyDescent="0.25">
      <c r="A53" t="s">
        <v>5</v>
      </c>
      <c r="B53" t="s">
        <v>31</v>
      </c>
      <c r="C53" t="s">
        <v>111</v>
      </c>
      <c r="D53" t="s">
        <v>405</v>
      </c>
      <c r="E53" t="s">
        <v>342</v>
      </c>
      <c r="F53" t="s">
        <v>86</v>
      </c>
      <c r="G53" t="s">
        <v>315</v>
      </c>
      <c r="H53">
        <v>44</v>
      </c>
      <c r="I53">
        <v>13.24</v>
      </c>
      <c r="J53">
        <v>7.42</v>
      </c>
      <c r="K53">
        <f>(I53*J53^2)^(1/3)</f>
        <v>8.999780801245727</v>
      </c>
      <c r="L53">
        <v>1.784366576819407</v>
      </c>
      <c r="M53">
        <v>0.2419</v>
      </c>
      <c r="N53">
        <v>10.962554119056513</v>
      </c>
      <c r="O53">
        <v>24</v>
      </c>
      <c r="P53">
        <v>0</v>
      </c>
      <c r="Q53">
        <v>0</v>
      </c>
      <c r="R53">
        <v>0.95880704700000019</v>
      </c>
      <c r="S53">
        <v>8.9955778579727932E-2</v>
      </c>
    </row>
    <row r="54" spans="1:19" x14ac:dyDescent="0.25">
      <c r="A54" t="s">
        <v>5</v>
      </c>
      <c r="B54" t="s">
        <v>31</v>
      </c>
      <c r="C54" t="s">
        <v>112</v>
      </c>
      <c r="D54" t="s">
        <v>405</v>
      </c>
      <c r="E54" t="s">
        <v>342</v>
      </c>
      <c r="F54" t="s">
        <v>86</v>
      </c>
      <c r="G54" t="s">
        <v>315</v>
      </c>
      <c r="H54">
        <v>47</v>
      </c>
      <c r="I54">
        <v>12</v>
      </c>
      <c r="J54">
        <v>7.13</v>
      </c>
      <c r="K54">
        <f>(I54*J54^2)^(1/3)</f>
        <v>8.4811244355632294</v>
      </c>
      <c r="L54">
        <v>1.6830294530154277</v>
      </c>
      <c r="M54">
        <v>0.2102</v>
      </c>
      <c r="N54">
        <v>12.570182928615401</v>
      </c>
      <c r="O54">
        <v>36</v>
      </c>
      <c r="P54">
        <v>30</v>
      </c>
      <c r="Q54">
        <v>0.83333333333333337</v>
      </c>
      <c r="R54">
        <v>0.67337244709999999</v>
      </c>
      <c r="S54">
        <v>2.7774754931202534E-2</v>
      </c>
    </row>
    <row r="55" spans="1:19" x14ac:dyDescent="0.25">
      <c r="A55" t="s">
        <v>5</v>
      </c>
      <c r="B55" t="s">
        <v>31</v>
      </c>
      <c r="C55" t="s">
        <v>113</v>
      </c>
      <c r="D55" t="s">
        <v>405</v>
      </c>
      <c r="E55" t="s">
        <v>342</v>
      </c>
      <c r="F55" t="s">
        <v>86</v>
      </c>
      <c r="G55" t="s">
        <v>315</v>
      </c>
      <c r="H55">
        <v>36</v>
      </c>
      <c r="I55">
        <v>11.14</v>
      </c>
      <c r="J55">
        <v>6.31</v>
      </c>
      <c r="K55">
        <f>(I55*J55^2)^(1/3)</f>
        <v>7.6263131892176785</v>
      </c>
      <c r="L55">
        <v>1.7654516640253568</v>
      </c>
      <c r="M55">
        <v>0.18459999999999999</v>
      </c>
      <c r="N55">
        <v>13.614931433734089</v>
      </c>
      <c r="O55">
        <v>98</v>
      </c>
      <c r="P55">
        <v>114</v>
      </c>
      <c r="Q55">
        <v>1.1632653061224489</v>
      </c>
      <c r="R55">
        <v>0.68417216930000002</v>
      </c>
      <c r="S55">
        <v>4.076096056748197E-2</v>
      </c>
    </row>
    <row r="56" spans="1:19" x14ac:dyDescent="0.25">
      <c r="A56" t="s">
        <v>5</v>
      </c>
      <c r="B56" t="s">
        <v>31</v>
      </c>
      <c r="C56" t="s">
        <v>114</v>
      </c>
      <c r="D56" t="s">
        <v>405</v>
      </c>
      <c r="E56" t="s">
        <v>342</v>
      </c>
      <c r="F56" t="s">
        <v>86</v>
      </c>
      <c r="G56" t="s">
        <v>315</v>
      </c>
      <c r="H56">
        <v>27</v>
      </c>
      <c r="I56">
        <v>8.42</v>
      </c>
      <c r="J56">
        <v>4.32</v>
      </c>
      <c r="K56">
        <f>(I56*J56^2)^(1/3)</f>
        <v>5.3962640826185169</v>
      </c>
      <c r="L56">
        <v>1.949074074074074</v>
      </c>
      <c r="M56">
        <v>6.4000000000000001E-2</v>
      </c>
      <c r="N56">
        <v>10.394410782589677</v>
      </c>
      <c r="O56">
        <v>35</v>
      </c>
      <c r="P56">
        <v>34</v>
      </c>
      <c r="Q56">
        <v>0.97142857142857142</v>
      </c>
      <c r="R56">
        <v>0.63892237890000003</v>
      </c>
      <c r="S56">
        <v>4.9487010946761015E-2</v>
      </c>
    </row>
    <row r="57" spans="1:19" x14ac:dyDescent="0.25">
      <c r="A57" t="s">
        <v>5</v>
      </c>
      <c r="B57" t="s">
        <v>31</v>
      </c>
      <c r="C57" t="s">
        <v>115</v>
      </c>
      <c r="D57" t="s">
        <v>405</v>
      </c>
      <c r="E57" t="s">
        <v>342</v>
      </c>
      <c r="F57" t="s">
        <v>86</v>
      </c>
      <c r="G57" t="s">
        <v>315</v>
      </c>
      <c r="H57">
        <v>29</v>
      </c>
      <c r="I57">
        <v>9.6999999999999993</v>
      </c>
      <c r="J57">
        <v>5.33</v>
      </c>
      <c r="K57">
        <f>(I57*J57^2)^(1/3)</f>
        <v>6.5074181973457028</v>
      </c>
      <c r="L57">
        <v>1.819887429643527</v>
      </c>
      <c r="M57">
        <v>9.9599999999999994E-2</v>
      </c>
      <c r="N57">
        <v>10.853330991587509</v>
      </c>
      <c r="O57">
        <v>79</v>
      </c>
      <c r="P57">
        <v>75</v>
      </c>
      <c r="Q57">
        <v>0.94936708860759489</v>
      </c>
      <c r="R57">
        <v>0.68575228709999991</v>
      </c>
      <c r="S57">
        <v>2.516043367056512E-2</v>
      </c>
    </row>
    <row r="58" spans="1:19" x14ac:dyDescent="0.25">
      <c r="A58" t="s">
        <v>5</v>
      </c>
      <c r="B58" t="s">
        <v>31</v>
      </c>
      <c r="C58" t="s">
        <v>34</v>
      </c>
      <c r="D58" t="s">
        <v>405</v>
      </c>
      <c r="E58" t="s">
        <v>344</v>
      </c>
      <c r="F58" t="s">
        <v>3</v>
      </c>
      <c r="G58" t="s">
        <v>317</v>
      </c>
      <c r="H58">
        <v>29</v>
      </c>
      <c r="I58">
        <v>9.65</v>
      </c>
      <c r="J58">
        <v>4.95</v>
      </c>
      <c r="K58">
        <f>(I58*J58^2)^(1/3)</f>
        <v>6.1836642893517597</v>
      </c>
      <c r="L58">
        <v>1.9494949494949494</v>
      </c>
      <c r="M58">
        <v>8.6400000000000005E-2</v>
      </c>
      <c r="N58">
        <v>9.5531526818685482</v>
      </c>
      <c r="O58">
        <v>30</v>
      </c>
      <c r="P58">
        <v>30</v>
      </c>
      <c r="Q58">
        <v>1</v>
      </c>
      <c r="R58">
        <v>0.66043786940000015</v>
      </c>
      <c r="S58">
        <v>2.3566710397473836E-2</v>
      </c>
    </row>
    <row r="59" spans="1:19" x14ac:dyDescent="0.25">
      <c r="A59" t="s">
        <v>5</v>
      </c>
      <c r="B59" t="s">
        <v>31</v>
      </c>
      <c r="C59" t="s">
        <v>35</v>
      </c>
      <c r="D59" t="s">
        <v>405</v>
      </c>
      <c r="E59" t="s">
        <v>344</v>
      </c>
      <c r="F59" t="s">
        <v>3</v>
      </c>
      <c r="G59" t="s">
        <v>317</v>
      </c>
      <c r="H59">
        <v>40</v>
      </c>
      <c r="I59">
        <v>12.79</v>
      </c>
      <c r="J59">
        <v>7.07</v>
      </c>
      <c r="K59">
        <f>(I59*J59^2)^(1/3)</f>
        <v>8.6146265922617484</v>
      </c>
      <c r="L59">
        <v>1.8090523338048088</v>
      </c>
      <c r="M59">
        <v>0.23269999999999999</v>
      </c>
      <c r="N59">
        <v>11.625762533380389</v>
      </c>
      <c r="O59">
        <v>15</v>
      </c>
      <c r="P59">
        <v>0</v>
      </c>
      <c r="Q59">
        <v>0</v>
      </c>
      <c r="R59">
        <v>0.84926494380000006</v>
      </c>
      <c r="S59">
        <v>0.11832200538184139</v>
      </c>
    </row>
    <row r="60" spans="1:19" x14ac:dyDescent="0.25">
      <c r="A60" t="s">
        <v>5</v>
      </c>
      <c r="B60" t="s">
        <v>31</v>
      </c>
      <c r="C60" t="s">
        <v>36</v>
      </c>
      <c r="D60" t="s">
        <v>405</v>
      </c>
      <c r="E60" t="s">
        <v>344</v>
      </c>
      <c r="F60" t="s">
        <v>3</v>
      </c>
      <c r="G60" t="s">
        <v>317</v>
      </c>
      <c r="H60">
        <v>29</v>
      </c>
      <c r="I60">
        <v>9.85</v>
      </c>
      <c r="J60">
        <v>5.39</v>
      </c>
      <c r="K60">
        <f>(I60*J60^2)^(1/3)</f>
        <v>6.5897851244332513</v>
      </c>
      <c r="L60">
        <v>1.8274582560296846</v>
      </c>
      <c r="M60">
        <v>9.0300000000000005E-2</v>
      </c>
      <c r="N60">
        <v>9.4231820242340607</v>
      </c>
      <c r="O60">
        <v>52</v>
      </c>
      <c r="P60">
        <v>50</v>
      </c>
      <c r="Q60">
        <v>0.96153846153846156</v>
      </c>
      <c r="R60">
        <v>0.68842444570000005</v>
      </c>
      <c r="S60">
        <v>3.486263504030275E-2</v>
      </c>
    </row>
    <row r="61" spans="1:19" x14ac:dyDescent="0.25">
      <c r="A61" t="s">
        <v>5</v>
      </c>
      <c r="B61" t="s">
        <v>38</v>
      </c>
      <c r="C61" s="3" t="s">
        <v>116</v>
      </c>
      <c r="D61" t="s">
        <v>402</v>
      </c>
      <c r="E61" t="s">
        <v>336</v>
      </c>
      <c r="F61" t="s">
        <v>86</v>
      </c>
      <c r="G61" t="s">
        <v>315</v>
      </c>
      <c r="H61">
        <v>23</v>
      </c>
      <c r="I61">
        <v>6.45</v>
      </c>
      <c r="J61">
        <v>3.4</v>
      </c>
      <c r="K61">
        <f>(I61*J61^2)^(1/3)</f>
        <v>4.2089378821936982</v>
      </c>
      <c r="L61">
        <v>1.8970588235294119</v>
      </c>
      <c r="M61">
        <v>3.0499999999999999E-2</v>
      </c>
      <c r="N61">
        <v>10.503679076026478</v>
      </c>
      <c r="O61">
        <v>18</v>
      </c>
      <c r="P61">
        <v>18</v>
      </c>
      <c r="Q61">
        <v>1</v>
      </c>
      <c r="R61">
        <v>0.56322903120000001</v>
      </c>
      <c r="S61">
        <v>5.5505407320689398E-2</v>
      </c>
    </row>
    <row r="62" spans="1:19" x14ac:dyDescent="0.25">
      <c r="A62" t="s">
        <v>5</v>
      </c>
      <c r="B62" t="s">
        <v>38</v>
      </c>
      <c r="C62" t="s">
        <v>37</v>
      </c>
      <c r="D62" t="s">
        <v>402</v>
      </c>
      <c r="E62" t="s">
        <v>346</v>
      </c>
      <c r="F62" t="s">
        <v>3</v>
      </c>
      <c r="G62" t="s">
        <v>317</v>
      </c>
      <c r="H62">
        <v>39</v>
      </c>
      <c r="I62">
        <v>9.0399999999999991</v>
      </c>
      <c r="J62">
        <v>5.0999999999999996</v>
      </c>
      <c r="K62">
        <f>(I62*J62^2)^(1/3)</f>
        <v>6.1721469989617326</v>
      </c>
      <c r="L62">
        <v>1.7725490196078431</v>
      </c>
      <c r="M62">
        <v>0.1038</v>
      </c>
      <c r="N62">
        <v>13.797562804016152</v>
      </c>
      <c r="O62">
        <v>149</v>
      </c>
      <c r="P62">
        <v>138</v>
      </c>
      <c r="Q62">
        <v>0.9261744966442953</v>
      </c>
      <c r="R62">
        <v>0.66048440859999991</v>
      </c>
      <c r="S62">
        <v>4.2341780331622753E-2</v>
      </c>
    </row>
    <row r="63" spans="1:19" x14ac:dyDescent="0.25">
      <c r="A63" t="s">
        <v>5</v>
      </c>
      <c r="B63" t="s">
        <v>38</v>
      </c>
      <c r="C63" t="s">
        <v>39</v>
      </c>
      <c r="D63" t="s">
        <v>402</v>
      </c>
      <c r="E63" t="s">
        <v>346</v>
      </c>
      <c r="F63" t="s">
        <v>3</v>
      </c>
      <c r="G63" t="s">
        <v>317</v>
      </c>
      <c r="H63">
        <v>36</v>
      </c>
      <c r="I63">
        <v>9.99</v>
      </c>
      <c r="J63">
        <v>5.49</v>
      </c>
      <c r="K63">
        <f>(I63*J63^2)^(1/3)</f>
        <v>6.7024985038221141</v>
      </c>
      <c r="L63">
        <v>1.819672131147541</v>
      </c>
      <c r="M63">
        <v>0.1205</v>
      </c>
      <c r="N63">
        <v>12.084046008140559</v>
      </c>
      <c r="O63">
        <v>24</v>
      </c>
      <c r="P63">
        <v>24</v>
      </c>
      <c r="Q63">
        <v>1</v>
      </c>
      <c r="R63">
        <v>0.81234513229999972</v>
      </c>
      <c r="S63">
        <v>4.8263208149654256E-2</v>
      </c>
    </row>
    <row r="64" spans="1:19" x14ac:dyDescent="0.25">
      <c r="A64" t="s">
        <v>5</v>
      </c>
      <c r="B64" t="s">
        <v>38</v>
      </c>
      <c r="C64" t="s">
        <v>40</v>
      </c>
      <c r="D64" t="s">
        <v>402</v>
      </c>
      <c r="E64" t="s">
        <v>346</v>
      </c>
      <c r="F64" t="s">
        <v>3</v>
      </c>
      <c r="G64" t="s">
        <v>317</v>
      </c>
      <c r="H64">
        <v>36</v>
      </c>
      <c r="I64">
        <v>9.82</v>
      </c>
      <c r="J64">
        <v>5.51</v>
      </c>
      <c r="K64">
        <f>(I64*J64^2)^(1/3)</f>
        <v>6.6804373451215113</v>
      </c>
      <c r="L64">
        <v>1.782214156079855</v>
      </c>
      <c r="M64">
        <v>0.1313</v>
      </c>
      <c r="N64">
        <v>13.820072792138559</v>
      </c>
      <c r="O64">
        <v>0</v>
      </c>
      <c r="P64">
        <v>0</v>
      </c>
      <c r="Q64">
        <v>0</v>
      </c>
      <c r="R64">
        <v>0.55369166742854092</v>
      </c>
      <c r="S64">
        <v>0.19604926082969149</v>
      </c>
    </row>
    <row r="65" spans="1:19" x14ac:dyDescent="0.25">
      <c r="A65" t="s">
        <v>5</v>
      </c>
      <c r="B65" t="s">
        <v>38</v>
      </c>
      <c r="C65" t="s">
        <v>117</v>
      </c>
      <c r="D65" t="s">
        <v>402</v>
      </c>
      <c r="E65" t="s">
        <v>336</v>
      </c>
      <c r="F65" t="s">
        <v>86</v>
      </c>
      <c r="G65" t="s">
        <v>315</v>
      </c>
      <c r="H65">
        <v>29</v>
      </c>
      <c r="I65">
        <v>8.91</v>
      </c>
      <c r="J65">
        <v>4.72</v>
      </c>
      <c r="K65">
        <f>(I65*J65^2)^(1/3)</f>
        <v>5.8333840133465387</v>
      </c>
      <c r="L65">
        <v>1.8877118644067798</v>
      </c>
      <c r="M65">
        <v>7.5899999999999995E-2</v>
      </c>
      <c r="N65">
        <v>10.509611218965327</v>
      </c>
      <c r="O65">
        <v>24</v>
      </c>
      <c r="P65">
        <v>18</v>
      </c>
      <c r="Q65">
        <v>0.75</v>
      </c>
      <c r="R65">
        <v>0.66943610517337993</v>
      </c>
      <c r="S65">
        <v>7.0035407568347877E-2</v>
      </c>
    </row>
    <row r="66" spans="1:19" x14ac:dyDescent="0.25">
      <c r="A66" t="s">
        <v>5</v>
      </c>
      <c r="B66" t="s">
        <v>38</v>
      </c>
      <c r="C66" t="s">
        <v>118</v>
      </c>
      <c r="D66" t="s">
        <v>402</v>
      </c>
      <c r="E66" t="s">
        <v>336</v>
      </c>
      <c r="F66" t="s">
        <v>86</v>
      </c>
      <c r="G66" t="s">
        <v>315</v>
      </c>
      <c r="H66">
        <v>26</v>
      </c>
      <c r="I66">
        <v>7.6</v>
      </c>
      <c r="J66">
        <v>3.85</v>
      </c>
      <c r="K66">
        <f>(I66*J66^2)^(1/3)</f>
        <v>4.8296057929338954</v>
      </c>
      <c r="L66">
        <v>1.9740259740259738</v>
      </c>
      <c r="M66">
        <v>5.4699999999999999E-2</v>
      </c>
      <c r="N66">
        <v>11.860226857204861</v>
      </c>
      <c r="O66">
        <v>18</v>
      </c>
      <c r="P66">
        <v>17</v>
      </c>
      <c r="Q66">
        <v>0.94444444444444442</v>
      </c>
      <c r="R66">
        <v>0.57516014879999999</v>
      </c>
      <c r="S66">
        <v>4.1046190588906503E-2</v>
      </c>
    </row>
    <row r="67" spans="1:19" x14ac:dyDescent="0.25">
      <c r="A67" t="s">
        <v>5</v>
      </c>
      <c r="B67" t="s">
        <v>38</v>
      </c>
      <c r="C67" t="s">
        <v>119</v>
      </c>
      <c r="D67" t="s">
        <v>402</v>
      </c>
      <c r="E67" t="s">
        <v>336</v>
      </c>
      <c r="F67" t="s">
        <v>86</v>
      </c>
      <c r="G67" t="s">
        <v>315</v>
      </c>
      <c r="H67">
        <v>28</v>
      </c>
      <c r="I67">
        <v>8.2200000000000006</v>
      </c>
      <c r="J67">
        <v>3.97</v>
      </c>
      <c r="K67">
        <f>(I67*J67^2)^(1/3)</f>
        <v>5.0600049732540802</v>
      </c>
      <c r="L67">
        <v>2.070528967254408</v>
      </c>
      <c r="M67">
        <v>6.0600000000000001E-2</v>
      </c>
      <c r="N67">
        <v>10.532563804828975</v>
      </c>
      <c r="O67">
        <v>43</v>
      </c>
      <c r="P67">
        <v>42</v>
      </c>
      <c r="Q67">
        <v>0.97674418604651159</v>
      </c>
      <c r="R67">
        <v>0.60857546699999998</v>
      </c>
      <c r="S67">
        <v>3.0284895834854376E-2</v>
      </c>
    </row>
    <row r="68" spans="1:19" x14ac:dyDescent="0.25">
      <c r="A68" t="s">
        <v>5</v>
      </c>
      <c r="B68" t="s">
        <v>38</v>
      </c>
      <c r="C68" t="s">
        <v>120</v>
      </c>
      <c r="D68" t="s">
        <v>402</v>
      </c>
      <c r="E68" t="s">
        <v>336</v>
      </c>
      <c r="F68" t="s">
        <v>86</v>
      </c>
      <c r="G68" t="s">
        <v>315</v>
      </c>
      <c r="H68">
        <v>26</v>
      </c>
      <c r="I68">
        <v>6.78</v>
      </c>
      <c r="J68">
        <v>3.82</v>
      </c>
      <c r="K68">
        <f>(I68*J68^2)^(1/3)</f>
        <v>4.6250752868192579</v>
      </c>
      <c r="L68">
        <v>1.7748691099476441</v>
      </c>
      <c r="M68">
        <v>4.4999999999999998E-2</v>
      </c>
      <c r="N68">
        <v>13.463090869052511</v>
      </c>
      <c r="O68">
        <v>18</v>
      </c>
      <c r="P68">
        <v>17</v>
      </c>
      <c r="Q68">
        <v>0.94444444444444442</v>
      </c>
      <c r="R68">
        <v>0.59968887300000007</v>
      </c>
      <c r="S68">
        <v>3.625898252478648E-2</v>
      </c>
    </row>
    <row r="69" spans="1:19" x14ac:dyDescent="0.25">
      <c r="A69" t="s">
        <v>5</v>
      </c>
      <c r="B69" t="s">
        <v>38</v>
      </c>
      <c r="C69" t="s">
        <v>121</v>
      </c>
      <c r="D69" t="s">
        <v>402</v>
      </c>
      <c r="E69" t="s">
        <v>336</v>
      </c>
      <c r="F69" t="s">
        <v>86</v>
      </c>
      <c r="G69" t="s">
        <v>315</v>
      </c>
      <c r="H69">
        <v>33</v>
      </c>
      <c r="I69">
        <v>11</v>
      </c>
      <c r="J69">
        <v>5.52</v>
      </c>
      <c r="K69">
        <f>(I69*J69^2)^(1/3)</f>
        <v>6.9463545569931453</v>
      </c>
      <c r="L69">
        <v>1.992753623188406</v>
      </c>
      <c r="M69">
        <v>0.12529999999999999</v>
      </c>
      <c r="N69">
        <v>9.5768723520851875</v>
      </c>
      <c r="O69">
        <v>93</v>
      </c>
      <c r="P69">
        <v>91</v>
      </c>
      <c r="Q69">
        <v>0.978494623655914</v>
      </c>
      <c r="R69">
        <v>0.71597274760000007</v>
      </c>
      <c r="S69">
        <v>3.5042211493014098E-2</v>
      </c>
    </row>
    <row r="70" spans="1:19" x14ac:dyDescent="0.25">
      <c r="A70" t="s">
        <v>5</v>
      </c>
      <c r="B70" t="s">
        <v>38</v>
      </c>
      <c r="C70" t="s">
        <v>41</v>
      </c>
      <c r="D70" t="s">
        <v>402</v>
      </c>
      <c r="E70" t="s">
        <v>346</v>
      </c>
      <c r="F70" t="s">
        <v>3</v>
      </c>
      <c r="G70" t="s">
        <v>317</v>
      </c>
      <c r="H70">
        <v>46</v>
      </c>
      <c r="I70">
        <v>12.68</v>
      </c>
      <c r="J70">
        <v>6.74</v>
      </c>
      <c r="K70">
        <f>(I70*J70^2)^(1/3)</f>
        <v>8.3204410669773239</v>
      </c>
      <c r="L70">
        <v>1.8813056379821957</v>
      </c>
      <c r="M70">
        <v>0.23949999999999999</v>
      </c>
      <c r="N70">
        <v>12.260529390707331</v>
      </c>
      <c r="O70">
        <v>62</v>
      </c>
      <c r="P70">
        <v>57</v>
      </c>
      <c r="Q70">
        <v>0.91935483870967738</v>
      </c>
      <c r="R70">
        <v>0.7380264393999999</v>
      </c>
      <c r="S70">
        <v>7.5346124557218938E-2</v>
      </c>
    </row>
    <row r="71" spans="1:19" x14ac:dyDescent="0.25">
      <c r="A71" t="s">
        <v>5</v>
      </c>
      <c r="B71" t="s">
        <v>38</v>
      </c>
      <c r="C71" t="s">
        <v>42</v>
      </c>
      <c r="D71" t="s">
        <v>402</v>
      </c>
      <c r="E71" t="s">
        <v>346</v>
      </c>
      <c r="F71" t="s">
        <v>3</v>
      </c>
      <c r="G71" t="s">
        <v>317</v>
      </c>
      <c r="H71">
        <v>33</v>
      </c>
      <c r="I71">
        <v>10.09</v>
      </c>
      <c r="J71">
        <v>5.25</v>
      </c>
      <c r="K71">
        <f>(I71*J71^2)^(1/3)</f>
        <v>6.527345349689158</v>
      </c>
      <c r="L71">
        <v>1.9219047619047618</v>
      </c>
      <c r="M71">
        <v>0.10290000000000001</v>
      </c>
      <c r="N71">
        <v>10.033265067685502</v>
      </c>
      <c r="O71">
        <v>78</v>
      </c>
      <c r="P71">
        <v>79</v>
      </c>
      <c r="Q71">
        <v>1.0128205128205128</v>
      </c>
      <c r="R71">
        <v>0.66005104289999994</v>
      </c>
      <c r="S71">
        <v>4.0743745805973494E-2</v>
      </c>
    </row>
    <row r="72" spans="1:19" x14ac:dyDescent="0.25">
      <c r="A72" t="s">
        <v>5</v>
      </c>
      <c r="B72" t="s">
        <v>38</v>
      </c>
      <c r="C72" t="s">
        <v>43</v>
      </c>
      <c r="D72" t="s">
        <v>402</v>
      </c>
      <c r="E72" t="s">
        <v>346</v>
      </c>
      <c r="F72" t="s">
        <v>3</v>
      </c>
      <c r="G72" t="s">
        <v>317</v>
      </c>
      <c r="H72">
        <v>33</v>
      </c>
      <c r="I72">
        <v>10.35</v>
      </c>
      <c r="J72">
        <v>5.54</v>
      </c>
      <c r="K72">
        <f>(I72*J72^2)^(1/3)</f>
        <v>6.8231768265450086</v>
      </c>
      <c r="L72">
        <v>1.8682310469314078</v>
      </c>
      <c r="M72">
        <v>0.12330000000000001</v>
      </c>
      <c r="N72">
        <v>11.190031013234751</v>
      </c>
      <c r="O72">
        <v>114</v>
      </c>
      <c r="P72">
        <v>112</v>
      </c>
      <c r="Q72">
        <v>0.98245614035087714</v>
      </c>
      <c r="R72">
        <v>0.6897685751999999</v>
      </c>
      <c r="S72">
        <v>3.8395497892526817E-2</v>
      </c>
    </row>
    <row r="73" spans="1:19" x14ac:dyDescent="0.25">
      <c r="A73" t="s">
        <v>5</v>
      </c>
      <c r="B73" t="s">
        <v>45</v>
      </c>
      <c r="C73" t="s">
        <v>44</v>
      </c>
      <c r="D73" t="s">
        <v>406</v>
      </c>
      <c r="E73" t="s">
        <v>348</v>
      </c>
      <c r="F73" t="s">
        <v>3</v>
      </c>
      <c r="G73" t="s">
        <v>317</v>
      </c>
      <c r="H73">
        <v>27</v>
      </c>
      <c r="I73">
        <v>8.84</v>
      </c>
      <c r="J73">
        <v>4.59</v>
      </c>
      <c r="K73">
        <f>(I73*J73^2)^(1/3)</f>
        <v>5.7107420699303892</v>
      </c>
      <c r="L73">
        <v>1.925925925925926</v>
      </c>
      <c r="M73">
        <v>7.46E-2</v>
      </c>
      <c r="N73">
        <v>10.561933776704199</v>
      </c>
      <c r="O73">
        <v>26</v>
      </c>
      <c r="P73">
        <v>7</v>
      </c>
      <c r="Q73">
        <v>0.26923076923076922</v>
      </c>
      <c r="R73">
        <v>0.71887356469999997</v>
      </c>
      <c r="S73">
        <v>4.6218001092131415E-2</v>
      </c>
    </row>
    <row r="74" spans="1:19" x14ac:dyDescent="0.25">
      <c r="A74" t="s">
        <v>5</v>
      </c>
      <c r="B74" t="s">
        <v>45</v>
      </c>
      <c r="C74" t="s">
        <v>46</v>
      </c>
      <c r="D74" t="s">
        <v>406</v>
      </c>
      <c r="E74" t="s">
        <v>348</v>
      </c>
      <c r="F74" t="s">
        <v>3</v>
      </c>
      <c r="G74" t="s">
        <v>317</v>
      </c>
      <c r="H74">
        <v>31</v>
      </c>
      <c r="I74">
        <v>10.02</v>
      </c>
      <c r="J74">
        <v>5.18</v>
      </c>
      <c r="K74">
        <f>(I74*J74^2)^(1/3)</f>
        <v>6.4541999207163245</v>
      </c>
      <c r="L74">
        <v>1.9343629343629345</v>
      </c>
      <c r="M74">
        <v>0.1021</v>
      </c>
      <c r="N74">
        <v>10.152634867614649</v>
      </c>
      <c r="O74">
        <v>76</v>
      </c>
      <c r="P74">
        <v>74</v>
      </c>
      <c r="Q74">
        <v>0.97368421052631582</v>
      </c>
      <c r="R74">
        <v>0.6704599456</v>
      </c>
      <c r="S74">
        <v>3.5552589624567164E-2</v>
      </c>
    </row>
    <row r="75" spans="1:19" x14ac:dyDescent="0.25">
      <c r="A75" t="s">
        <v>5</v>
      </c>
      <c r="B75" t="s">
        <v>45</v>
      </c>
      <c r="C75" t="s">
        <v>47</v>
      </c>
      <c r="D75" t="s">
        <v>406</v>
      </c>
      <c r="E75" t="s">
        <v>348</v>
      </c>
      <c r="F75" t="s">
        <v>3</v>
      </c>
      <c r="G75" t="s">
        <v>317</v>
      </c>
      <c r="H75">
        <v>34</v>
      </c>
      <c r="I75">
        <v>8.9700000000000006</v>
      </c>
      <c r="J75">
        <v>5.65</v>
      </c>
      <c r="K75">
        <f>(I75*J75^2)^(1/3)</f>
        <v>6.5911791022593125</v>
      </c>
      <c r="L75">
        <v>1.5876106194690265</v>
      </c>
      <c r="M75">
        <v>0.1331</v>
      </c>
      <c r="N75">
        <v>18.084369255513209</v>
      </c>
      <c r="O75">
        <v>153</v>
      </c>
      <c r="P75">
        <v>121</v>
      </c>
      <c r="Q75">
        <v>0.79084967320261434</v>
      </c>
      <c r="R75">
        <v>0.65929393560000005</v>
      </c>
      <c r="S75">
        <v>3.8169635492939932E-2</v>
      </c>
    </row>
    <row r="76" spans="1:19" x14ac:dyDescent="0.25">
      <c r="A76" t="s">
        <v>5</v>
      </c>
      <c r="B76" t="s">
        <v>45</v>
      </c>
      <c r="C76" t="s">
        <v>122</v>
      </c>
      <c r="D76" t="s">
        <v>406</v>
      </c>
      <c r="E76" t="s">
        <v>353</v>
      </c>
      <c r="F76" t="s">
        <v>86</v>
      </c>
      <c r="G76" t="s">
        <v>315</v>
      </c>
      <c r="H76">
        <v>31</v>
      </c>
      <c r="I76">
        <v>10.17</v>
      </c>
      <c r="J76">
        <v>5.03</v>
      </c>
      <c r="K76">
        <f>(I76*J76^2)^(1/3)</f>
        <v>6.3604177517219131</v>
      </c>
      <c r="L76">
        <v>2.0218687872763419</v>
      </c>
      <c r="M76">
        <v>0.126</v>
      </c>
      <c r="N76">
        <v>12.01504655391007</v>
      </c>
      <c r="O76">
        <v>4</v>
      </c>
      <c r="P76">
        <v>2</v>
      </c>
      <c r="Q76">
        <v>0.5</v>
      </c>
      <c r="R76">
        <v>0.78719139049999998</v>
      </c>
      <c r="S76">
        <v>5.2453669310336064E-2</v>
      </c>
    </row>
    <row r="77" spans="1:19" x14ac:dyDescent="0.25">
      <c r="A77" t="s">
        <v>5</v>
      </c>
      <c r="B77" t="s">
        <v>45</v>
      </c>
      <c r="C77" t="s">
        <v>123</v>
      </c>
      <c r="D77" t="s">
        <v>406</v>
      </c>
      <c r="E77" t="s">
        <v>353</v>
      </c>
      <c r="F77" t="s">
        <v>86</v>
      </c>
      <c r="G77" t="s">
        <v>315</v>
      </c>
      <c r="H77">
        <v>34</v>
      </c>
      <c r="I77">
        <v>10</v>
      </c>
      <c r="J77">
        <v>5.49</v>
      </c>
      <c r="K77">
        <f>(I77*J77^2)^(1/3)</f>
        <v>6.7047341605935866</v>
      </c>
      <c r="L77">
        <v>1.8214936247723132</v>
      </c>
      <c r="M77">
        <v>0.1148</v>
      </c>
      <c r="N77">
        <v>11.48</v>
      </c>
      <c r="O77">
        <v>187</v>
      </c>
      <c r="P77">
        <v>152</v>
      </c>
      <c r="Q77">
        <v>0.81283422459893051</v>
      </c>
      <c r="R77">
        <v>0.59973086542701703</v>
      </c>
      <c r="S77">
        <v>3.6309383073274706E-2</v>
      </c>
    </row>
    <row r="78" spans="1:19" x14ac:dyDescent="0.25">
      <c r="A78" t="s">
        <v>5</v>
      </c>
      <c r="B78" t="s">
        <v>45</v>
      </c>
      <c r="C78" t="s">
        <v>124</v>
      </c>
      <c r="D78" t="s">
        <v>406</v>
      </c>
      <c r="E78" t="s">
        <v>353</v>
      </c>
      <c r="F78" t="s">
        <v>86</v>
      </c>
      <c r="G78" t="s">
        <v>315</v>
      </c>
      <c r="H78">
        <v>33</v>
      </c>
      <c r="I78">
        <v>9.31</v>
      </c>
      <c r="J78">
        <v>5.35</v>
      </c>
      <c r="K78">
        <f>(I78*J78^2)^(1/3)</f>
        <v>6.4350572502200167</v>
      </c>
      <c r="L78">
        <v>1.7401869158878507</v>
      </c>
      <c r="M78">
        <v>0.1138</v>
      </c>
      <c r="N78">
        <v>13.92208117607748</v>
      </c>
      <c r="O78">
        <v>72</v>
      </c>
      <c r="P78">
        <v>66</v>
      </c>
      <c r="Q78">
        <v>0.91666666666666663</v>
      </c>
      <c r="R78">
        <v>0.69539883329999996</v>
      </c>
      <c r="S78">
        <v>4.7529807734638635E-2</v>
      </c>
    </row>
    <row r="79" spans="1:19" x14ac:dyDescent="0.25">
      <c r="A79" t="s">
        <v>5</v>
      </c>
      <c r="B79" t="s">
        <v>45</v>
      </c>
      <c r="C79" t="s">
        <v>125</v>
      </c>
      <c r="D79" t="s">
        <v>407</v>
      </c>
      <c r="E79" t="s">
        <v>349</v>
      </c>
      <c r="F79" t="s">
        <v>86</v>
      </c>
      <c r="G79" t="s">
        <v>315</v>
      </c>
      <c r="H79">
        <v>35</v>
      </c>
      <c r="I79">
        <v>10.99</v>
      </c>
      <c r="J79">
        <v>5.58</v>
      </c>
      <c r="K79">
        <f>(I79*J79^2)^(1/3)</f>
        <v>6.9944788845664636</v>
      </c>
      <c r="L79">
        <v>1.9695340501792116</v>
      </c>
      <c r="M79">
        <v>0.13819999999999999</v>
      </c>
      <c r="N79">
        <v>10.589965625314218</v>
      </c>
      <c r="O79">
        <v>98</v>
      </c>
      <c r="P79">
        <v>81</v>
      </c>
      <c r="Q79">
        <v>0.82653061224489799</v>
      </c>
      <c r="R79">
        <v>0.73208995509999997</v>
      </c>
      <c r="S79">
        <v>5.6785853609212372E-2</v>
      </c>
    </row>
    <row r="80" spans="1:19" x14ac:dyDescent="0.25">
      <c r="A80" t="s">
        <v>5</v>
      </c>
      <c r="B80" t="s">
        <v>45</v>
      </c>
      <c r="C80" t="s">
        <v>126</v>
      </c>
      <c r="D80" t="s">
        <v>407</v>
      </c>
      <c r="E80" t="s">
        <v>349</v>
      </c>
      <c r="F80" t="s">
        <v>86</v>
      </c>
      <c r="G80" t="s">
        <v>315</v>
      </c>
      <c r="H80">
        <v>31</v>
      </c>
      <c r="I80">
        <v>10.55</v>
      </c>
      <c r="J80">
        <v>5.0599999999999996</v>
      </c>
      <c r="K80">
        <f>(I80*J80^2)^(1/3)</f>
        <v>6.4642453411744283</v>
      </c>
      <c r="L80">
        <v>2.0849802371541504</v>
      </c>
      <c r="M80">
        <v>0.12</v>
      </c>
      <c r="N80">
        <v>10.318327542148397</v>
      </c>
      <c r="O80">
        <v>157</v>
      </c>
      <c r="P80">
        <v>147</v>
      </c>
      <c r="Q80">
        <v>0.93630573248407645</v>
      </c>
      <c r="R80">
        <v>0.61781842929999997</v>
      </c>
      <c r="S80">
        <v>5.6577159991372528E-2</v>
      </c>
    </row>
    <row r="81" spans="1:19" x14ac:dyDescent="0.25">
      <c r="A81" t="s">
        <v>5</v>
      </c>
      <c r="B81" t="s">
        <v>45</v>
      </c>
      <c r="C81" t="s">
        <v>127</v>
      </c>
      <c r="D81" t="s">
        <v>407</v>
      </c>
      <c r="E81" t="s">
        <v>349</v>
      </c>
      <c r="F81" t="s">
        <v>86</v>
      </c>
      <c r="G81" t="s">
        <v>315</v>
      </c>
      <c r="H81">
        <v>29</v>
      </c>
      <c r="I81">
        <v>9.64</v>
      </c>
      <c r="J81">
        <v>4.91</v>
      </c>
      <c r="K81">
        <f>(I81*J81^2)^(1/3)</f>
        <v>6.1481813998387977</v>
      </c>
      <c r="L81">
        <v>1.9633401221995928</v>
      </c>
      <c r="M81">
        <v>9.4299999999999995E-2</v>
      </c>
      <c r="N81">
        <v>10.457176954399481</v>
      </c>
      <c r="O81">
        <v>52</v>
      </c>
      <c r="P81">
        <v>40</v>
      </c>
      <c r="Q81">
        <v>0.76923076923076927</v>
      </c>
      <c r="R81">
        <v>0.68191938149999998</v>
      </c>
      <c r="S81">
        <v>4.7753947022091799E-2</v>
      </c>
    </row>
    <row r="82" spans="1:19" x14ac:dyDescent="0.25">
      <c r="A82" t="s">
        <v>5</v>
      </c>
      <c r="B82" t="s">
        <v>45</v>
      </c>
      <c r="C82" t="s">
        <v>48</v>
      </c>
      <c r="D82" t="s">
        <v>407</v>
      </c>
      <c r="E82" t="s">
        <v>352</v>
      </c>
      <c r="F82" t="s">
        <v>3</v>
      </c>
      <c r="G82" t="s">
        <v>317</v>
      </c>
      <c r="H82">
        <v>31</v>
      </c>
      <c r="I82">
        <v>10.93</v>
      </c>
      <c r="J82">
        <v>5.49</v>
      </c>
      <c r="K82">
        <f>(I82*J82^2)^(1/3)</f>
        <v>6.906451244328597</v>
      </c>
      <c r="L82">
        <v>1.9908925318761383</v>
      </c>
      <c r="M82">
        <v>0.1298</v>
      </c>
      <c r="N82">
        <v>10.101034065686859</v>
      </c>
      <c r="O82">
        <v>114</v>
      </c>
      <c r="P82">
        <v>109</v>
      </c>
      <c r="Q82">
        <v>0.95614035087719296</v>
      </c>
      <c r="R82">
        <v>0.64785957569999986</v>
      </c>
      <c r="S82">
        <v>4.8473413727235952E-2</v>
      </c>
    </row>
    <row r="83" spans="1:19" x14ac:dyDescent="0.25">
      <c r="A83" t="s">
        <v>5</v>
      </c>
      <c r="B83" t="s">
        <v>45</v>
      </c>
      <c r="C83" t="s">
        <v>49</v>
      </c>
      <c r="D83" t="s">
        <v>407</v>
      </c>
      <c r="E83" t="s">
        <v>352</v>
      </c>
      <c r="F83" t="s">
        <v>3</v>
      </c>
      <c r="G83" t="s">
        <v>317</v>
      </c>
      <c r="H83">
        <v>39</v>
      </c>
      <c r="I83">
        <v>12.24</v>
      </c>
      <c r="J83">
        <v>5.79</v>
      </c>
      <c r="K83">
        <f>(I83*J83^2)^(1/3)</f>
        <v>7.4309815283601885</v>
      </c>
      <c r="L83">
        <v>2.1139896373056994</v>
      </c>
      <c r="M83">
        <v>0.16800000000000001</v>
      </c>
      <c r="N83">
        <v>9.5009204869427801</v>
      </c>
      <c r="O83">
        <v>127</v>
      </c>
      <c r="P83">
        <v>67</v>
      </c>
      <c r="Q83">
        <v>0.52755905511811019</v>
      </c>
      <c r="R83">
        <v>0.71067036129999994</v>
      </c>
      <c r="S83">
        <v>4.2468935279560825E-2</v>
      </c>
    </row>
    <row r="84" spans="1:19" x14ac:dyDescent="0.25">
      <c r="A84" t="s">
        <v>5</v>
      </c>
      <c r="B84" t="s">
        <v>45</v>
      </c>
      <c r="C84" t="s">
        <v>50</v>
      </c>
      <c r="D84" t="s">
        <v>407</v>
      </c>
      <c r="E84" t="s">
        <v>352</v>
      </c>
      <c r="F84" t="s">
        <v>3</v>
      </c>
      <c r="G84" t="s">
        <v>317</v>
      </c>
      <c r="H84">
        <v>31</v>
      </c>
      <c r="I84">
        <v>10.71</v>
      </c>
      <c r="J84">
        <v>5.22</v>
      </c>
      <c r="K84">
        <f>(I84*J84^2)^(1/3)</f>
        <v>6.6330024688439533</v>
      </c>
      <c r="L84">
        <v>2.0517241379310347</v>
      </c>
      <c r="M84">
        <v>0.1221</v>
      </c>
      <c r="N84">
        <v>10.062580233109236</v>
      </c>
      <c r="O84">
        <v>135</v>
      </c>
      <c r="P84">
        <v>137</v>
      </c>
      <c r="Q84">
        <v>1.0148148148148148</v>
      </c>
      <c r="R84">
        <v>0.64613535210000017</v>
      </c>
      <c r="S84">
        <v>2.8948349435695554E-2</v>
      </c>
    </row>
    <row r="85" spans="1:19" x14ac:dyDescent="0.25">
      <c r="A85" t="s">
        <v>5</v>
      </c>
      <c r="B85" t="s">
        <v>45</v>
      </c>
      <c r="C85" t="s">
        <v>128</v>
      </c>
      <c r="D85" t="s">
        <v>408</v>
      </c>
      <c r="E85" t="s">
        <v>350</v>
      </c>
      <c r="F85" t="s">
        <v>86</v>
      </c>
      <c r="G85" t="s">
        <v>315</v>
      </c>
      <c r="H85">
        <v>39</v>
      </c>
      <c r="I85">
        <v>12.1</v>
      </c>
      <c r="J85">
        <v>5.84</v>
      </c>
      <c r="K85">
        <f>(I85*J85^2)^(1/3)</f>
        <v>7.4450969044405664</v>
      </c>
      <c r="L85">
        <v>2.0719178082191783</v>
      </c>
      <c r="M85">
        <v>0.17510000000000001</v>
      </c>
      <c r="N85">
        <v>10.228958150448959</v>
      </c>
      <c r="O85">
        <v>35</v>
      </c>
      <c r="P85">
        <v>35</v>
      </c>
      <c r="Q85">
        <v>1</v>
      </c>
      <c r="R85">
        <v>0.52950685280000009</v>
      </c>
      <c r="S85">
        <v>8.0472494865781952E-2</v>
      </c>
    </row>
    <row r="86" spans="1:19" x14ac:dyDescent="0.25">
      <c r="A86" t="s">
        <v>5</v>
      </c>
      <c r="B86" t="s">
        <v>45</v>
      </c>
      <c r="C86" t="s">
        <v>51</v>
      </c>
      <c r="D86" t="s">
        <v>408</v>
      </c>
      <c r="E86" t="s">
        <v>351</v>
      </c>
      <c r="F86" t="s">
        <v>3</v>
      </c>
      <c r="G86" t="s">
        <v>317</v>
      </c>
      <c r="H86">
        <v>34</v>
      </c>
      <c r="I86">
        <v>10.74</v>
      </c>
      <c r="J86">
        <v>5.65</v>
      </c>
      <c r="K86">
        <f>(I86*J86^2)^(1/3)</f>
        <v>6.9989634519594901</v>
      </c>
      <c r="L86">
        <v>1.9008849557522123</v>
      </c>
      <c r="M86">
        <v>0.13669999999999999</v>
      </c>
      <c r="N86">
        <v>11.177287994405024</v>
      </c>
      <c r="O86">
        <v>150</v>
      </c>
      <c r="P86">
        <v>144</v>
      </c>
      <c r="Q86">
        <v>0.96</v>
      </c>
      <c r="R86">
        <v>0.56384258150000011</v>
      </c>
      <c r="S86">
        <v>5.3287479720804345E-2</v>
      </c>
    </row>
    <row r="87" spans="1:19" x14ac:dyDescent="0.25">
      <c r="A87" t="s">
        <v>5</v>
      </c>
      <c r="B87" t="s">
        <v>45</v>
      </c>
      <c r="C87" t="s">
        <v>52</v>
      </c>
      <c r="D87" t="s">
        <v>408</v>
      </c>
      <c r="E87" t="s">
        <v>351</v>
      </c>
      <c r="F87" t="s">
        <v>3</v>
      </c>
      <c r="G87" t="s">
        <v>317</v>
      </c>
      <c r="H87">
        <v>32</v>
      </c>
      <c r="I87">
        <v>9.4</v>
      </c>
      <c r="J87">
        <v>5.19</v>
      </c>
      <c r="K87">
        <f>(I87*J87^2)^(1/3)</f>
        <v>6.3263641961548744</v>
      </c>
      <c r="L87">
        <v>1.8111753371868977</v>
      </c>
      <c r="M87">
        <v>0.1159</v>
      </c>
      <c r="N87">
        <v>13.799485320292298</v>
      </c>
      <c r="O87">
        <v>171</v>
      </c>
      <c r="P87">
        <v>157</v>
      </c>
      <c r="Q87">
        <v>0.91812865497076024</v>
      </c>
      <c r="R87">
        <v>0.59106590449999996</v>
      </c>
      <c r="S87">
        <v>2.0393427124697883E-2</v>
      </c>
    </row>
    <row r="88" spans="1:19" x14ac:dyDescent="0.25">
      <c r="A88" t="s">
        <v>5</v>
      </c>
      <c r="B88" t="s">
        <v>45</v>
      </c>
      <c r="C88" t="s">
        <v>53</v>
      </c>
      <c r="D88" t="s">
        <v>408</v>
      </c>
      <c r="E88" t="s">
        <v>351</v>
      </c>
      <c r="F88" t="s">
        <v>3</v>
      </c>
      <c r="G88" t="s">
        <v>317</v>
      </c>
      <c r="H88">
        <v>29</v>
      </c>
      <c r="I88">
        <v>9.1300000000000008</v>
      </c>
      <c r="J88">
        <v>4.0999999999999996</v>
      </c>
      <c r="K88">
        <f>(I88*J88^2)^(1/3)</f>
        <v>5.3540139324341434</v>
      </c>
      <c r="L88">
        <v>2.2268292682926831</v>
      </c>
      <c r="M88">
        <v>6.3100000000000003E-2</v>
      </c>
      <c r="N88">
        <v>8.1564610496303143</v>
      </c>
      <c r="O88">
        <v>46</v>
      </c>
      <c r="P88">
        <v>45</v>
      </c>
      <c r="Q88">
        <v>0.97826086956521741</v>
      </c>
      <c r="R88">
        <v>0.60767173149999998</v>
      </c>
      <c r="S88">
        <v>2.7237809991750194E-2</v>
      </c>
    </row>
    <row r="89" spans="1:19" x14ac:dyDescent="0.25">
      <c r="A89" t="s">
        <v>5</v>
      </c>
      <c r="B89" t="s">
        <v>45</v>
      </c>
      <c r="C89" t="s">
        <v>129</v>
      </c>
      <c r="D89" t="s">
        <v>408</v>
      </c>
      <c r="E89" t="s">
        <v>350</v>
      </c>
      <c r="F89" t="s">
        <v>86</v>
      </c>
      <c r="G89" t="s">
        <v>315</v>
      </c>
      <c r="H89">
        <v>34</v>
      </c>
      <c r="I89">
        <v>11.41</v>
      </c>
      <c r="J89">
        <v>5.7</v>
      </c>
      <c r="K89">
        <f>(I89*J89^2)^(1/3)</f>
        <v>7.1836492391197</v>
      </c>
      <c r="L89">
        <v>2.0017543859649121</v>
      </c>
      <c r="M89">
        <v>0.1389</v>
      </c>
      <c r="N89">
        <v>9.5753956645831924</v>
      </c>
      <c r="O89">
        <v>161</v>
      </c>
      <c r="P89">
        <v>137</v>
      </c>
      <c r="Q89">
        <v>0.85093167701863359</v>
      </c>
      <c r="R89">
        <v>0.58850078010000006</v>
      </c>
      <c r="S89">
        <v>6.1080601214885122E-2</v>
      </c>
    </row>
    <row r="90" spans="1:19" x14ac:dyDescent="0.25">
      <c r="A90" t="s">
        <v>5</v>
      </c>
      <c r="B90" t="s">
        <v>45</v>
      </c>
      <c r="C90" t="s">
        <v>130</v>
      </c>
      <c r="D90" t="s">
        <v>408</v>
      </c>
      <c r="E90" t="s">
        <v>350</v>
      </c>
      <c r="F90" t="s">
        <v>86</v>
      </c>
      <c r="G90" t="s">
        <v>315</v>
      </c>
      <c r="H90">
        <v>29</v>
      </c>
      <c r="I90">
        <v>9.6</v>
      </c>
      <c r="J90">
        <v>4.8499999999999996</v>
      </c>
      <c r="K90">
        <f>(I90*J90^2)^(1/3)</f>
        <v>6.0895458312464497</v>
      </c>
      <c r="L90">
        <v>1.9793814432989691</v>
      </c>
      <c r="M90">
        <v>8.5800000000000001E-2</v>
      </c>
      <c r="N90">
        <v>9.6268102272374048</v>
      </c>
      <c r="O90">
        <v>31</v>
      </c>
      <c r="P90">
        <v>33</v>
      </c>
      <c r="Q90">
        <v>1.064516129032258</v>
      </c>
      <c r="R90">
        <v>0.59025365650000006</v>
      </c>
      <c r="S90">
        <v>6.0887518262810671E-2</v>
      </c>
    </row>
    <row r="91" spans="1:19" x14ac:dyDescent="0.25">
      <c r="A91" t="s">
        <v>5</v>
      </c>
      <c r="B91" t="s">
        <v>45</v>
      </c>
      <c r="C91" t="s">
        <v>131</v>
      </c>
      <c r="D91" t="s">
        <v>408</v>
      </c>
      <c r="E91" t="s">
        <v>350</v>
      </c>
      <c r="F91" t="s">
        <v>86</v>
      </c>
      <c r="G91" t="s">
        <v>315</v>
      </c>
      <c r="H91">
        <v>29</v>
      </c>
      <c r="I91">
        <v>9.4700000000000006</v>
      </c>
      <c r="J91">
        <v>4.28</v>
      </c>
      <c r="K91">
        <f>(I91*J91^2)^(1/3)</f>
        <v>5.5771523176892854</v>
      </c>
      <c r="L91">
        <v>2.2126168224299065</v>
      </c>
      <c r="M91">
        <v>7.17E-2</v>
      </c>
      <c r="N91">
        <v>8.3601142941852462</v>
      </c>
      <c r="O91">
        <v>89</v>
      </c>
      <c r="P91">
        <v>87</v>
      </c>
      <c r="Q91">
        <v>0.97752808988764039</v>
      </c>
      <c r="R91">
        <v>0.59957778120000005</v>
      </c>
      <c r="S91">
        <v>2.0262220395353733E-2</v>
      </c>
    </row>
    <row r="92" spans="1:19" x14ac:dyDescent="0.25">
      <c r="A92" t="s">
        <v>5</v>
      </c>
      <c r="B92" t="s">
        <v>45</v>
      </c>
      <c r="C92" t="s">
        <v>132</v>
      </c>
      <c r="D92" t="s">
        <v>408</v>
      </c>
      <c r="E92" t="s">
        <v>350</v>
      </c>
      <c r="F92" t="s">
        <v>86</v>
      </c>
      <c r="G92" t="s">
        <v>315</v>
      </c>
      <c r="H92">
        <v>33</v>
      </c>
      <c r="I92">
        <v>9.99</v>
      </c>
      <c r="J92">
        <v>5.17</v>
      </c>
      <c r="K92">
        <f>(I92*J92^2)^(1/3)</f>
        <v>6.4394512266590889</v>
      </c>
      <c r="L92">
        <v>1.9323017408123793</v>
      </c>
      <c r="M92">
        <v>0.1022</v>
      </c>
      <c r="N92">
        <v>10.248875535534982</v>
      </c>
      <c r="O92">
        <v>38</v>
      </c>
      <c r="P92">
        <v>13</v>
      </c>
      <c r="Q92">
        <v>0.34210526315789475</v>
      </c>
      <c r="R92">
        <v>0.77346757570000002</v>
      </c>
      <c r="S92">
        <v>4.8302927461670468E-2</v>
      </c>
    </row>
    <row r="93" spans="1:19" x14ac:dyDescent="0.25">
      <c r="A93" t="s">
        <v>5</v>
      </c>
      <c r="B93" t="s">
        <v>45</v>
      </c>
      <c r="C93" t="s">
        <v>133</v>
      </c>
      <c r="D93" t="s">
        <v>408</v>
      </c>
      <c r="E93" t="s">
        <v>350</v>
      </c>
      <c r="F93" t="s">
        <v>86</v>
      </c>
      <c r="G93" t="s">
        <v>315</v>
      </c>
      <c r="H93">
        <v>29</v>
      </c>
      <c r="I93">
        <v>9.7799999999999994</v>
      </c>
      <c r="J93">
        <v>4.47</v>
      </c>
      <c r="K93">
        <f>(I93*J93^2)^(1/3)</f>
        <v>5.8029830275502077</v>
      </c>
      <c r="L93">
        <v>2.1879194630872485</v>
      </c>
      <c r="M93">
        <v>9.5200000000000007E-2</v>
      </c>
      <c r="N93">
        <v>10.136344863155546</v>
      </c>
      <c r="O93">
        <v>108</v>
      </c>
      <c r="P93">
        <v>104</v>
      </c>
      <c r="Q93">
        <v>0.96296296296296291</v>
      </c>
      <c r="R93">
        <v>0.62505610840000014</v>
      </c>
      <c r="S93">
        <v>3.2480328378298805E-2</v>
      </c>
    </row>
    <row r="94" spans="1:19" x14ac:dyDescent="0.25">
      <c r="A94" t="s">
        <v>5</v>
      </c>
      <c r="B94" t="s">
        <v>45</v>
      </c>
      <c r="C94" t="s">
        <v>54</v>
      </c>
      <c r="D94" t="s">
        <v>408</v>
      </c>
      <c r="E94" t="s">
        <v>351</v>
      </c>
      <c r="F94" t="s">
        <v>3</v>
      </c>
      <c r="G94" t="s">
        <v>317</v>
      </c>
      <c r="H94">
        <v>38</v>
      </c>
      <c r="I94">
        <v>11.93</v>
      </c>
      <c r="J94">
        <v>5.76</v>
      </c>
      <c r="K94">
        <f>(I94*J94^2)^(1/3)</f>
        <v>7.3422382035552456</v>
      </c>
      <c r="L94">
        <v>2.0711805555555558</v>
      </c>
      <c r="M94">
        <v>0.1643</v>
      </c>
      <c r="N94">
        <v>9.9887584780165337</v>
      </c>
      <c r="O94">
        <v>43</v>
      </c>
      <c r="P94">
        <v>37</v>
      </c>
      <c r="Q94">
        <v>0.86046511627906974</v>
      </c>
      <c r="R94">
        <v>0.69677950169999991</v>
      </c>
      <c r="S94">
        <v>9.9061323978593033E-2</v>
      </c>
    </row>
    <row r="95" spans="1:19" x14ac:dyDescent="0.25">
      <c r="A95" t="s">
        <v>5</v>
      </c>
      <c r="B95" t="s">
        <v>45</v>
      </c>
      <c r="C95" t="s">
        <v>55</v>
      </c>
      <c r="D95" t="s">
        <v>408</v>
      </c>
      <c r="E95" t="s">
        <v>351</v>
      </c>
      <c r="F95" t="s">
        <v>3</v>
      </c>
      <c r="G95" t="s">
        <v>317</v>
      </c>
      <c r="H95">
        <v>32</v>
      </c>
      <c r="I95">
        <v>11.02</v>
      </c>
      <c r="J95">
        <v>5.33</v>
      </c>
      <c r="K95">
        <f>(I95*J95^2)^(1/3)</f>
        <v>6.7901390954086374</v>
      </c>
      <c r="L95">
        <v>2.067542213883677</v>
      </c>
      <c r="M95">
        <v>0.1273</v>
      </c>
      <c r="N95">
        <v>9.6800211703786072</v>
      </c>
      <c r="O95">
        <v>12</v>
      </c>
      <c r="P95">
        <v>12</v>
      </c>
      <c r="Q95">
        <v>1</v>
      </c>
      <c r="R95">
        <v>0.66807650180000011</v>
      </c>
      <c r="S95">
        <v>8.454750332733571E-2</v>
      </c>
    </row>
    <row r="96" spans="1:19" x14ac:dyDescent="0.25">
      <c r="A96" t="s">
        <v>5</v>
      </c>
      <c r="B96" t="s">
        <v>45</v>
      </c>
      <c r="C96" t="s">
        <v>56</v>
      </c>
      <c r="D96" t="s">
        <v>408</v>
      </c>
      <c r="E96" t="s">
        <v>351</v>
      </c>
      <c r="F96" t="s">
        <v>3</v>
      </c>
      <c r="G96" t="s">
        <v>317</v>
      </c>
      <c r="H96">
        <v>43</v>
      </c>
      <c r="I96">
        <v>14.31</v>
      </c>
      <c r="J96">
        <v>7.04</v>
      </c>
      <c r="K96">
        <f>(I96*J96^2)^(1/3)</f>
        <v>8.9178805450592709</v>
      </c>
      <c r="L96">
        <v>2.0326704545454546</v>
      </c>
      <c r="M96">
        <v>0.26290000000000002</v>
      </c>
      <c r="N96">
        <v>9.5694465030677822</v>
      </c>
      <c r="O96">
        <v>117</v>
      </c>
      <c r="P96">
        <v>115</v>
      </c>
      <c r="Q96">
        <v>0.98290598290598286</v>
      </c>
      <c r="R96">
        <v>0.70548239829999981</v>
      </c>
      <c r="S96">
        <v>6.0864935054567186E-2</v>
      </c>
    </row>
    <row r="97" spans="1:19" x14ac:dyDescent="0.25">
      <c r="A97" t="s">
        <v>5</v>
      </c>
      <c r="B97" t="s">
        <v>58</v>
      </c>
      <c r="C97" s="3" t="s">
        <v>57</v>
      </c>
      <c r="D97" t="s">
        <v>401</v>
      </c>
      <c r="E97" t="s">
        <v>335</v>
      </c>
      <c r="F97" t="s">
        <v>3</v>
      </c>
      <c r="G97" t="s">
        <v>317</v>
      </c>
      <c r="H97">
        <v>24</v>
      </c>
      <c r="I97">
        <v>7.52</v>
      </c>
      <c r="J97">
        <v>3.77</v>
      </c>
      <c r="K97">
        <f>(I97*J97^2)^(1/3)</f>
        <v>4.7456989024938334</v>
      </c>
      <c r="L97">
        <v>1.9946949602122015</v>
      </c>
      <c r="M97">
        <v>4.4699999999999997E-2</v>
      </c>
      <c r="N97">
        <v>9.9855780977978483</v>
      </c>
      <c r="O97">
        <v>13</v>
      </c>
      <c r="P97">
        <v>30</v>
      </c>
      <c r="Q97">
        <v>0.967741935483871</v>
      </c>
      <c r="R97">
        <v>0.55759023860000012</v>
      </c>
      <c r="S97">
        <v>5.4754088704043101E-2</v>
      </c>
    </row>
    <row r="98" spans="1:19" x14ac:dyDescent="0.25">
      <c r="A98" t="s">
        <v>5</v>
      </c>
      <c r="B98" t="s">
        <v>58</v>
      </c>
      <c r="C98" t="s">
        <v>134</v>
      </c>
      <c r="D98" t="s">
        <v>401</v>
      </c>
      <c r="E98" t="s">
        <v>340</v>
      </c>
      <c r="F98" t="s">
        <v>86</v>
      </c>
      <c r="G98" t="s">
        <v>315</v>
      </c>
      <c r="H98">
        <v>31</v>
      </c>
      <c r="I98">
        <v>9.39</v>
      </c>
      <c r="J98">
        <v>4.78</v>
      </c>
      <c r="K98">
        <f>(I98*J98^2)^(1/3)</f>
        <v>5.9865111422889425</v>
      </c>
      <c r="L98">
        <v>1.9644351464435146</v>
      </c>
      <c r="M98">
        <v>8.7900000000000006E-2</v>
      </c>
      <c r="N98">
        <v>10.497162127477385</v>
      </c>
      <c r="O98">
        <v>94</v>
      </c>
      <c r="P98">
        <v>89</v>
      </c>
      <c r="Q98">
        <v>0.94680851063829785</v>
      </c>
      <c r="R98">
        <v>0.62002425459999999</v>
      </c>
      <c r="S98">
        <v>0.10069591348269689</v>
      </c>
    </row>
    <row r="99" spans="1:19" x14ac:dyDescent="0.25">
      <c r="A99" t="s">
        <v>5</v>
      </c>
      <c r="B99" t="s">
        <v>58</v>
      </c>
      <c r="C99" t="s">
        <v>135</v>
      </c>
      <c r="D99" t="s">
        <v>401</v>
      </c>
      <c r="E99" t="s">
        <v>340</v>
      </c>
      <c r="F99" t="s">
        <v>86</v>
      </c>
      <c r="G99" t="s">
        <v>315</v>
      </c>
      <c r="H99">
        <v>40</v>
      </c>
      <c r="I99">
        <v>11.03</v>
      </c>
      <c r="J99">
        <v>5.88</v>
      </c>
      <c r="K99">
        <f>(I99*J99^2)^(1/3)</f>
        <v>7.2517594271302741</v>
      </c>
      <c r="L99">
        <v>1.8758503401360545</v>
      </c>
      <c r="M99">
        <v>0.15240000000000001</v>
      </c>
      <c r="N99">
        <v>11.559046795332083</v>
      </c>
      <c r="O99">
        <v>95</v>
      </c>
      <c r="P99">
        <v>92</v>
      </c>
      <c r="Q99">
        <v>0.96842105263157896</v>
      </c>
      <c r="R99">
        <v>0.69164711779999999</v>
      </c>
      <c r="S99">
        <v>4.1164248819879713E-2</v>
      </c>
    </row>
    <row r="100" spans="1:19" x14ac:dyDescent="0.25">
      <c r="A100" t="s">
        <v>5</v>
      </c>
      <c r="B100" t="s">
        <v>58</v>
      </c>
      <c r="C100" t="s">
        <v>136</v>
      </c>
      <c r="D100" t="s">
        <v>401</v>
      </c>
      <c r="E100" t="s">
        <v>340</v>
      </c>
      <c r="F100" t="s">
        <v>86</v>
      </c>
      <c r="G100" t="s">
        <v>315</v>
      </c>
      <c r="H100">
        <v>32</v>
      </c>
      <c r="I100">
        <v>10.29</v>
      </c>
      <c r="J100">
        <v>4.92</v>
      </c>
      <c r="K100">
        <f>(I100*J100^2)^(1/3)</f>
        <v>6.2919007030953802</v>
      </c>
      <c r="L100">
        <v>2.0914634146341462</v>
      </c>
      <c r="M100">
        <v>9.9500000000000005E-2</v>
      </c>
      <c r="N100">
        <v>9.179345656541873</v>
      </c>
      <c r="O100">
        <v>11</v>
      </c>
      <c r="P100">
        <v>11</v>
      </c>
      <c r="Q100">
        <v>1</v>
      </c>
      <c r="R100">
        <v>0.74066008770000002</v>
      </c>
      <c r="S100">
        <v>6.5189290003299469E-2</v>
      </c>
    </row>
    <row r="101" spans="1:19" x14ac:dyDescent="0.25">
      <c r="A101" t="s">
        <v>5</v>
      </c>
      <c r="B101" t="s">
        <v>58</v>
      </c>
      <c r="C101" t="s">
        <v>59</v>
      </c>
      <c r="D101" t="s">
        <v>401</v>
      </c>
      <c r="E101" t="s">
        <v>335</v>
      </c>
      <c r="F101" t="s">
        <v>3</v>
      </c>
      <c r="G101" t="s">
        <v>317</v>
      </c>
      <c r="H101">
        <v>55</v>
      </c>
      <c r="I101">
        <v>14.84</v>
      </c>
      <c r="J101">
        <v>7.69</v>
      </c>
      <c r="K101">
        <f>(I101*J101^2)^(1/3)</f>
        <v>9.5740463761323458</v>
      </c>
      <c r="L101">
        <v>1.9297789336801039</v>
      </c>
      <c r="M101">
        <v>0.30840000000000001</v>
      </c>
      <c r="N101">
        <v>10.131430479815061</v>
      </c>
      <c r="O101">
        <v>216</v>
      </c>
      <c r="P101">
        <v>193</v>
      </c>
      <c r="Q101">
        <v>0.89351851851851849</v>
      </c>
      <c r="R101">
        <v>0.60335413469999999</v>
      </c>
      <c r="S101">
        <v>0.10252362235251179</v>
      </c>
    </row>
    <row r="102" spans="1:19" x14ac:dyDescent="0.25">
      <c r="A102" t="s">
        <v>5</v>
      </c>
      <c r="B102" t="s">
        <v>58</v>
      </c>
      <c r="C102" t="s">
        <v>60</v>
      </c>
      <c r="D102" t="s">
        <v>401</v>
      </c>
      <c r="E102" t="s">
        <v>335</v>
      </c>
      <c r="F102" t="s">
        <v>3</v>
      </c>
      <c r="G102" t="s">
        <v>317</v>
      </c>
      <c r="H102">
        <v>36</v>
      </c>
      <c r="I102">
        <v>10.71</v>
      </c>
      <c r="J102">
        <v>5.47</v>
      </c>
      <c r="K102">
        <f>(I102*J102^2)^(1/3)</f>
        <v>6.8431286984609274</v>
      </c>
      <c r="L102">
        <v>1.9579524680073128</v>
      </c>
      <c r="M102">
        <v>0.13669999999999999</v>
      </c>
      <c r="N102">
        <v>11.265804405127209</v>
      </c>
      <c r="O102">
        <v>18</v>
      </c>
      <c r="P102">
        <v>10</v>
      </c>
      <c r="Q102">
        <v>0.55555555555555558</v>
      </c>
      <c r="R102">
        <v>0.71413199979999997</v>
      </c>
      <c r="S102">
        <v>0.13058090693803381</v>
      </c>
    </row>
    <row r="103" spans="1:19" x14ac:dyDescent="0.25">
      <c r="A103" t="s">
        <v>5</v>
      </c>
      <c r="B103" t="s">
        <v>58</v>
      </c>
      <c r="C103" s="3" t="s">
        <v>61</v>
      </c>
      <c r="D103" t="s">
        <v>401</v>
      </c>
      <c r="E103" t="s">
        <v>335</v>
      </c>
      <c r="F103" t="s">
        <v>3</v>
      </c>
      <c r="G103" t="s">
        <v>317</v>
      </c>
      <c r="H103">
        <v>25</v>
      </c>
      <c r="I103">
        <v>8.9499999999999993</v>
      </c>
      <c r="J103">
        <v>4.4400000000000004</v>
      </c>
      <c r="K103">
        <f>(I103*J103^2)^(1/3)</f>
        <v>5.6087100850068712</v>
      </c>
      <c r="L103">
        <v>2.0157657657657655</v>
      </c>
      <c r="M103">
        <v>6.9699999999999998E-2</v>
      </c>
      <c r="N103">
        <v>9.529976254136745</v>
      </c>
      <c r="O103">
        <v>18</v>
      </c>
      <c r="P103">
        <v>11</v>
      </c>
      <c r="Q103">
        <v>0.61111111111111116</v>
      </c>
      <c r="R103">
        <v>0.72576216900000001</v>
      </c>
      <c r="S103">
        <v>5.7466185674342862E-2</v>
      </c>
    </row>
    <row r="104" spans="1:19" x14ac:dyDescent="0.25">
      <c r="A104" t="s">
        <v>5</v>
      </c>
      <c r="B104" t="s">
        <v>58</v>
      </c>
      <c r="C104" t="s">
        <v>62</v>
      </c>
      <c r="D104" t="s">
        <v>401</v>
      </c>
      <c r="E104" t="s">
        <v>335</v>
      </c>
      <c r="F104" t="s">
        <v>3</v>
      </c>
      <c r="G104" t="s">
        <v>317</v>
      </c>
      <c r="H104">
        <v>45</v>
      </c>
      <c r="I104">
        <v>12.55</v>
      </c>
      <c r="J104">
        <v>6.51</v>
      </c>
      <c r="K104">
        <f>(I104*J104^2)^(1/3)</f>
        <v>8.1021802544295003</v>
      </c>
      <c r="L104">
        <v>1.9278033794162828</v>
      </c>
      <c r="M104">
        <v>0.2051</v>
      </c>
      <c r="N104">
        <v>10.809120380114814</v>
      </c>
      <c r="O104">
        <v>210</v>
      </c>
      <c r="P104">
        <v>173</v>
      </c>
      <c r="Q104">
        <v>0.82380952380952377</v>
      </c>
      <c r="R104">
        <v>0.70841336430000001</v>
      </c>
      <c r="S104">
        <v>3.4026223783645032E-2</v>
      </c>
    </row>
    <row r="105" spans="1:19" x14ac:dyDescent="0.25">
      <c r="A105" t="s">
        <v>5</v>
      </c>
      <c r="B105" t="s">
        <v>58</v>
      </c>
      <c r="C105" t="s">
        <v>63</v>
      </c>
      <c r="D105" t="s">
        <v>401</v>
      </c>
      <c r="E105" t="s">
        <v>335</v>
      </c>
      <c r="F105" t="s">
        <v>3</v>
      </c>
      <c r="G105" t="s">
        <v>317</v>
      </c>
      <c r="H105">
        <v>34</v>
      </c>
      <c r="I105">
        <v>10.91</v>
      </c>
      <c r="J105">
        <v>5.56</v>
      </c>
      <c r="K105">
        <f>(I105*J105^2)^(1/3)</f>
        <v>6.9607832605976308</v>
      </c>
      <c r="L105">
        <v>1.9622302158273384</v>
      </c>
      <c r="M105">
        <v>0.1139</v>
      </c>
      <c r="N105">
        <v>8.9095942715095209</v>
      </c>
      <c r="O105">
        <v>90</v>
      </c>
      <c r="P105">
        <v>46</v>
      </c>
      <c r="Q105">
        <v>0.51111111111111107</v>
      </c>
      <c r="R105">
        <v>0.65475472560000003</v>
      </c>
      <c r="S105">
        <v>4.1250704322985159E-2</v>
      </c>
    </row>
    <row r="106" spans="1:19" x14ac:dyDescent="0.25">
      <c r="A106" t="s">
        <v>5</v>
      </c>
      <c r="B106" t="s">
        <v>58</v>
      </c>
      <c r="C106" s="3" t="s">
        <v>137</v>
      </c>
      <c r="D106" t="s">
        <v>401</v>
      </c>
      <c r="E106" t="s">
        <v>340</v>
      </c>
      <c r="F106" t="s">
        <v>86</v>
      </c>
      <c r="G106" t="s">
        <v>315</v>
      </c>
      <c r="H106">
        <v>26</v>
      </c>
      <c r="I106">
        <v>7.96</v>
      </c>
      <c r="J106">
        <v>3.9</v>
      </c>
      <c r="K106">
        <f>(I106*J106^2)^(1/3)</f>
        <v>4.9470628427845424</v>
      </c>
      <c r="L106">
        <v>2.0410256410256409</v>
      </c>
      <c r="M106">
        <v>4.7300000000000002E-2</v>
      </c>
      <c r="N106">
        <v>9.0009073160763045</v>
      </c>
      <c r="O106">
        <v>16</v>
      </c>
      <c r="P106">
        <v>11</v>
      </c>
      <c r="Q106">
        <v>0.6875</v>
      </c>
      <c r="R106">
        <v>0.63961928300000004</v>
      </c>
      <c r="S106">
        <v>4.299905900105528E-2</v>
      </c>
    </row>
    <row r="107" spans="1:19" x14ac:dyDescent="0.25">
      <c r="A107" t="s">
        <v>5</v>
      </c>
      <c r="B107" t="s">
        <v>58</v>
      </c>
      <c r="C107" t="s">
        <v>138</v>
      </c>
      <c r="D107" t="s">
        <v>401</v>
      </c>
      <c r="E107" t="s">
        <v>340</v>
      </c>
      <c r="F107" t="s">
        <v>86</v>
      </c>
      <c r="G107" t="s">
        <v>315</v>
      </c>
      <c r="H107">
        <v>35</v>
      </c>
      <c r="I107">
        <v>10.5</v>
      </c>
      <c r="J107">
        <v>5.17</v>
      </c>
      <c r="K107">
        <f>(I107*J107^2)^(1/3)</f>
        <v>6.5472179005031457</v>
      </c>
      <c r="L107">
        <v>2.0309477756286269</v>
      </c>
      <c r="M107">
        <v>0.1076</v>
      </c>
      <c r="N107">
        <v>9.3768819381089656</v>
      </c>
      <c r="O107">
        <v>120</v>
      </c>
      <c r="P107">
        <v>32</v>
      </c>
      <c r="Q107">
        <v>0.26666666666666666</v>
      </c>
      <c r="R107">
        <v>0.69078556699999993</v>
      </c>
      <c r="S107">
        <v>5.5900768716933287E-2</v>
      </c>
    </row>
    <row r="108" spans="1:19" x14ac:dyDescent="0.25">
      <c r="A108" t="s">
        <v>5</v>
      </c>
      <c r="B108" t="s">
        <v>58</v>
      </c>
      <c r="C108" t="s">
        <v>139</v>
      </c>
      <c r="D108" t="s">
        <v>401</v>
      </c>
      <c r="E108" t="s">
        <v>340</v>
      </c>
      <c r="F108" t="s">
        <v>86</v>
      </c>
      <c r="G108" t="s">
        <v>315</v>
      </c>
      <c r="H108">
        <v>33</v>
      </c>
      <c r="I108">
        <v>8.8000000000000007</v>
      </c>
      <c r="J108">
        <v>4.82</v>
      </c>
      <c r="K108">
        <f>(I108*J108^2)^(1/3)</f>
        <v>5.8910437702740062</v>
      </c>
      <c r="L108">
        <v>1.8257261410788381</v>
      </c>
      <c r="M108">
        <v>8.77E-2</v>
      </c>
      <c r="N108">
        <v>12.576461275453299</v>
      </c>
      <c r="O108">
        <v>12</v>
      </c>
      <c r="P108">
        <v>0</v>
      </c>
      <c r="Q108">
        <v>0</v>
      </c>
      <c r="R108">
        <v>0.71069121630000009</v>
      </c>
      <c r="S108">
        <v>2.0490316891964903E-2</v>
      </c>
    </row>
    <row r="109" spans="1:19" x14ac:dyDescent="0.25">
      <c r="A109" t="s">
        <v>5</v>
      </c>
      <c r="B109" t="s">
        <v>65</v>
      </c>
      <c r="C109" s="3" t="s">
        <v>140</v>
      </c>
      <c r="D109" t="s">
        <v>399</v>
      </c>
      <c r="E109" t="s">
        <v>331</v>
      </c>
      <c r="F109" t="s">
        <v>86</v>
      </c>
      <c r="G109" t="s">
        <v>315</v>
      </c>
      <c r="H109">
        <v>21</v>
      </c>
      <c r="I109">
        <v>6.88</v>
      </c>
      <c r="J109">
        <v>3.57</v>
      </c>
      <c r="K109">
        <f>(I109*J109^2)^(1/3)</f>
        <v>4.4426451246120973</v>
      </c>
      <c r="L109">
        <v>1.927170868347339</v>
      </c>
      <c r="M109">
        <v>3.6600000000000001E-2</v>
      </c>
      <c r="N109">
        <v>10.507071547284307</v>
      </c>
      <c r="O109">
        <v>30</v>
      </c>
      <c r="P109">
        <v>28</v>
      </c>
      <c r="Q109">
        <v>0.93333333333333335</v>
      </c>
      <c r="R109">
        <v>0.60478855510000007</v>
      </c>
      <c r="S109">
        <v>4.0073469889940289E-2</v>
      </c>
    </row>
    <row r="110" spans="1:19" x14ac:dyDescent="0.25">
      <c r="A110" t="s">
        <v>5</v>
      </c>
      <c r="B110" t="s">
        <v>65</v>
      </c>
      <c r="C110" t="s">
        <v>64</v>
      </c>
      <c r="D110" t="s">
        <v>399</v>
      </c>
      <c r="E110" t="s">
        <v>339</v>
      </c>
      <c r="F110" t="s">
        <v>3</v>
      </c>
      <c r="G110" t="s">
        <v>317</v>
      </c>
      <c r="H110">
        <v>35</v>
      </c>
      <c r="I110">
        <v>11.56</v>
      </c>
      <c r="J110">
        <v>5.75</v>
      </c>
      <c r="K110">
        <f>(I110*J110^2)^(1/3)</f>
        <v>7.2571233990160549</v>
      </c>
      <c r="L110">
        <v>2.0104347826086957</v>
      </c>
      <c r="M110">
        <v>0.14430000000000001</v>
      </c>
      <c r="N110">
        <v>9.5879384846259708</v>
      </c>
      <c r="O110">
        <v>18</v>
      </c>
      <c r="P110">
        <v>12</v>
      </c>
      <c r="Q110">
        <v>0.66666666666666663</v>
      </c>
      <c r="R110">
        <v>0.70211868859999993</v>
      </c>
      <c r="S110">
        <v>1.5760970854711488E-2</v>
      </c>
    </row>
    <row r="111" spans="1:19" x14ac:dyDescent="0.25">
      <c r="A111" t="s">
        <v>5</v>
      </c>
      <c r="B111" t="s">
        <v>65</v>
      </c>
      <c r="C111" t="s">
        <v>66</v>
      </c>
      <c r="D111" t="s">
        <v>399</v>
      </c>
      <c r="E111" t="s">
        <v>339</v>
      </c>
      <c r="F111" t="s">
        <v>3</v>
      </c>
      <c r="G111" t="s">
        <v>317</v>
      </c>
      <c r="H111">
        <v>41</v>
      </c>
      <c r="I111">
        <v>11.17</v>
      </c>
      <c r="J111">
        <v>6.18</v>
      </c>
      <c r="K111">
        <f>(I111*J111^2)^(1/3)</f>
        <v>7.5279496859547512</v>
      </c>
      <c r="L111">
        <v>1.8074433656957929</v>
      </c>
      <c r="M111">
        <v>0.17580000000000001</v>
      </c>
      <c r="N111">
        <v>12.867936898503244</v>
      </c>
      <c r="O111">
        <v>259</v>
      </c>
      <c r="P111">
        <v>173</v>
      </c>
      <c r="Q111">
        <v>0.66795366795366795</v>
      </c>
      <c r="R111">
        <v>0.68322721099999995</v>
      </c>
      <c r="S111">
        <v>4.3023666858635151E-2</v>
      </c>
    </row>
    <row r="112" spans="1:19" x14ac:dyDescent="0.25">
      <c r="A112" t="s">
        <v>5</v>
      </c>
      <c r="B112" t="s">
        <v>65</v>
      </c>
      <c r="C112" t="s">
        <v>67</v>
      </c>
      <c r="D112" t="s">
        <v>399</v>
      </c>
      <c r="E112" t="s">
        <v>339</v>
      </c>
      <c r="F112" t="s">
        <v>3</v>
      </c>
      <c r="G112" t="s">
        <v>317</v>
      </c>
      <c r="H112">
        <v>39</v>
      </c>
      <c r="I112">
        <v>10.4</v>
      </c>
      <c r="J112">
        <v>5.45</v>
      </c>
      <c r="K112">
        <f>(I112*J112^2)^(1/3)</f>
        <v>6.7599286898865136</v>
      </c>
      <c r="L112">
        <v>1.9082568807339451</v>
      </c>
      <c r="M112">
        <v>0.12690000000000001</v>
      </c>
      <c r="N112">
        <v>11.361288948513142</v>
      </c>
      <c r="O112">
        <v>182</v>
      </c>
      <c r="P112">
        <v>179</v>
      </c>
      <c r="Q112">
        <v>0.98351648351648346</v>
      </c>
      <c r="R112">
        <v>0.69015084860000009</v>
      </c>
      <c r="S112">
        <v>3.9091455661772086E-2</v>
      </c>
    </row>
    <row r="113" spans="1:19" x14ac:dyDescent="0.25">
      <c r="A113" t="s">
        <v>5</v>
      </c>
      <c r="B113" t="s">
        <v>65</v>
      </c>
      <c r="C113" t="s">
        <v>141</v>
      </c>
      <c r="D113" t="s">
        <v>399</v>
      </c>
      <c r="E113" t="s">
        <v>331</v>
      </c>
      <c r="F113" t="s">
        <v>86</v>
      </c>
      <c r="G113" t="s">
        <v>315</v>
      </c>
      <c r="H113">
        <v>39</v>
      </c>
      <c r="I113">
        <v>11.06</v>
      </c>
      <c r="J113">
        <v>5.41</v>
      </c>
      <c r="K113">
        <f>(I113*J113^2)^(1/3)</f>
        <v>6.8662016269513888</v>
      </c>
      <c r="L113">
        <v>2.0443622920517561</v>
      </c>
      <c r="M113">
        <v>0.12790000000000001</v>
      </c>
      <c r="N113">
        <v>9.6267808732254778</v>
      </c>
      <c r="O113">
        <v>164</v>
      </c>
      <c r="P113">
        <v>160</v>
      </c>
      <c r="Q113">
        <v>0.97560975609756095</v>
      </c>
      <c r="R113">
        <v>0.66354237810000005</v>
      </c>
      <c r="S113">
        <v>3.4496842710476761E-2</v>
      </c>
    </row>
    <row r="114" spans="1:19" x14ac:dyDescent="0.25">
      <c r="A114" t="s">
        <v>5</v>
      </c>
      <c r="B114" t="s">
        <v>65</v>
      </c>
      <c r="C114" t="s">
        <v>142</v>
      </c>
      <c r="D114" t="s">
        <v>399</v>
      </c>
      <c r="E114" t="s">
        <v>331</v>
      </c>
      <c r="F114" t="s">
        <v>86</v>
      </c>
      <c r="G114" t="s">
        <v>315</v>
      </c>
      <c r="H114">
        <v>33</v>
      </c>
      <c r="I114">
        <v>10.8</v>
      </c>
      <c r="J114">
        <v>5.47</v>
      </c>
      <c r="K114">
        <f>(I114*J114^2)^(1/3)</f>
        <v>6.8622436823850883</v>
      </c>
      <c r="L114">
        <v>1.9744058500914079</v>
      </c>
      <c r="M114">
        <v>0.12330000000000001</v>
      </c>
      <c r="N114">
        <v>9.9244874326322225</v>
      </c>
      <c r="O114">
        <v>178</v>
      </c>
      <c r="P114">
        <v>176</v>
      </c>
      <c r="Q114">
        <v>0.9887640449438202</v>
      </c>
      <c r="R114">
        <v>0.65198456309999997</v>
      </c>
      <c r="S114">
        <v>3.1218410282969056E-2</v>
      </c>
    </row>
    <row r="115" spans="1:19" x14ac:dyDescent="0.25">
      <c r="A115" t="s">
        <v>5</v>
      </c>
      <c r="B115" t="s">
        <v>65</v>
      </c>
      <c r="C115" t="s">
        <v>143</v>
      </c>
      <c r="D115" t="s">
        <v>399</v>
      </c>
      <c r="E115" t="s">
        <v>331</v>
      </c>
      <c r="F115" t="s">
        <v>86</v>
      </c>
      <c r="G115" t="s">
        <v>315</v>
      </c>
      <c r="H115">
        <v>20</v>
      </c>
      <c r="I115">
        <v>7.41</v>
      </c>
      <c r="J115">
        <v>3.67</v>
      </c>
      <c r="K115">
        <f>(I115*J115^2)^(1/3)</f>
        <v>4.6385628507206729</v>
      </c>
      <c r="L115">
        <v>2.019073569482289</v>
      </c>
      <c r="M115">
        <v>4.3299999999999998E-2</v>
      </c>
      <c r="N115">
        <v>10.083250343811404</v>
      </c>
      <c r="O115">
        <v>17</v>
      </c>
      <c r="P115">
        <v>15</v>
      </c>
      <c r="Q115">
        <v>0.88235294117647056</v>
      </c>
      <c r="R115">
        <v>0.65291313550000007</v>
      </c>
      <c r="S115">
        <v>3.9824430763878094E-2</v>
      </c>
    </row>
    <row r="116" spans="1:19" x14ac:dyDescent="0.25">
      <c r="A116" t="s">
        <v>5</v>
      </c>
      <c r="B116" t="s">
        <v>65</v>
      </c>
      <c r="C116" t="s">
        <v>144</v>
      </c>
      <c r="D116" t="s">
        <v>399</v>
      </c>
      <c r="E116" t="s">
        <v>331</v>
      </c>
      <c r="F116" t="s">
        <v>86</v>
      </c>
      <c r="G116" t="s">
        <v>315</v>
      </c>
      <c r="H116">
        <v>34</v>
      </c>
      <c r="I116">
        <v>9.5399999999999991</v>
      </c>
      <c r="J116">
        <v>5.17</v>
      </c>
      <c r="K116">
        <f>(I116*J116^2)^(1/3)</f>
        <v>6.3412735320093487</v>
      </c>
      <c r="L116">
        <v>1.8452611218568664</v>
      </c>
      <c r="M116">
        <v>0.10249999999999999</v>
      </c>
      <c r="N116">
        <v>11.705701593993176</v>
      </c>
      <c r="O116">
        <v>114</v>
      </c>
      <c r="P116">
        <v>74</v>
      </c>
      <c r="Q116">
        <v>0.64912280701754388</v>
      </c>
      <c r="R116">
        <v>0.66570897100000015</v>
      </c>
      <c r="S116">
        <v>4.2034569265635077E-2</v>
      </c>
    </row>
    <row r="117" spans="1:19" x14ac:dyDescent="0.25">
      <c r="A117" t="s">
        <v>5</v>
      </c>
      <c r="B117" t="s">
        <v>65</v>
      </c>
      <c r="C117" s="3" t="s">
        <v>145</v>
      </c>
      <c r="D117" t="s">
        <v>399</v>
      </c>
      <c r="E117" t="s">
        <v>331</v>
      </c>
      <c r="F117" t="s">
        <v>86</v>
      </c>
      <c r="G117" t="s">
        <v>315</v>
      </c>
      <c r="H117">
        <v>20</v>
      </c>
      <c r="I117">
        <v>7.09</v>
      </c>
      <c r="J117">
        <v>3.32</v>
      </c>
      <c r="K117">
        <f>(I117*J117^2)^(1/3)</f>
        <v>4.2753742202874774</v>
      </c>
      <c r="L117">
        <v>2.1355421686746987</v>
      </c>
      <c r="M117">
        <v>3.4200000000000001E-2</v>
      </c>
      <c r="N117">
        <v>9.0199415407486967</v>
      </c>
      <c r="O117">
        <v>26</v>
      </c>
      <c r="P117">
        <v>23</v>
      </c>
      <c r="Q117">
        <v>0.88461538461538458</v>
      </c>
      <c r="R117">
        <v>0.64788950709999993</v>
      </c>
      <c r="S117">
        <v>3.7282201890656168E-2</v>
      </c>
    </row>
    <row r="118" spans="1:19" x14ac:dyDescent="0.25">
      <c r="A118" t="s">
        <v>5</v>
      </c>
      <c r="B118" t="s">
        <v>65</v>
      </c>
      <c r="C118" t="s">
        <v>68</v>
      </c>
      <c r="D118" t="s">
        <v>399</v>
      </c>
      <c r="E118" t="s">
        <v>339</v>
      </c>
      <c r="F118" t="s">
        <v>3</v>
      </c>
      <c r="G118" t="s">
        <v>317</v>
      </c>
      <c r="H118">
        <v>26</v>
      </c>
      <c r="I118">
        <v>8.5299999999999994</v>
      </c>
      <c r="J118">
        <v>4.2</v>
      </c>
      <c r="K118">
        <f>(I118*J118^2)^(1/3)</f>
        <v>5.3188270729044937</v>
      </c>
      <c r="L118">
        <v>2.0309523809523808</v>
      </c>
      <c r="M118">
        <v>5.9700000000000003E-2</v>
      </c>
      <c r="N118">
        <v>9.3475557331250041</v>
      </c>
      <c r="O118">
        <v>49</v>
      </c>
      <c r="P118">
        <v>50</v>
      </c>
      <c r="Q118">
        <v>1.0204081632653061</v>
      </c>
      <c r="R118">
        <v>0.6275578826999999</v>
      </c>
      <c r="S118">
        <v>2.5284512368563009E-2</v>
      </c>
    </row>
    <row r="119" spans="1:19" x14ac:dyDescent="0.25">
      <c r="A119" t="s">
        <v>5</v>
      </c>
      <c r="B119" t="s">
        <v>65</v>
      </c>
      <c r="C119" s="3" t="s">
        <v>69</v>
      </c>
      <c r="D119" t="s">
        <v>399</v>
      </c>
      <c r="E119" t="s">
        <v>339</v>
      </c>
      <c r="F119" t="s">
        <v>3</v>
      </c>
      <c r="G119" t="s">
        <v>317</v>
      </c>
      <c r="H119">
        <v>23</v>
      </c>
      <c r="I119">
        <v>7.57</v>
      </c>
      <c r="J119">
        <v>3.89</v>
      </c>
      <c r="K119">
        <f>(I119*J119^2)^(1/3)</f>
        <v>4.8565928266186464</v>
      </c>
      <c r="L119">
        <v>1.9460154241645244</v>
      </c>
      <c r="M119">
        <v>5.0500000000000003E-2</v>
      </c>
      <c r="N119">
        <v>11.072380401126567</v>
      </c>
      <c r="O119">
        <v>41</v>
      </c>
      <c r="P119">
        <v>29</v>
      </c>
      <c r="Q119">
        <v>0.70731707317073167</v>
      </c>
      <c r="R119">
        <v>0.65354971480000001</v>
      </c>
      <c r="S119">
        <v>2.1621184402747955E-2</v>
      </c>
    </row>
    <row r="120" spans="1:19" x14ac:dyDescent="0.25">
      <c r="A120" t="s">
        <v>5</v>
      </c>
      <c r="B120" t="s">
        <v>65</v>
      </c>
      <c r="C120" t="s">
        <v>70</v>
      </c>
      <c r="D120" t="s">
        <v>399</v>
      </c>
      <c r="E120" t="s">
        <v>339</v>
      </c>
      <c r="F120" t="s">
        <v>3</v>
      </c>
      <c r="G120" t="s">
        <v>317</v>
      </c>
      <c r="H120">
        <v>53</v>
      </c>
      <c r="I120">
        <v>14.77</v>
      </c>
      <c r="J120">
        <v>7.46</v>
      </c>
      <c r="K120">
        <f>(I120*J120^2)^(1/3)</f>
        <v>9.3674068560305095</v>
      </c>
      <c r="L120">
        <v>1.9798927613941018</v>
      </c>
      <c r="M120">
        <v>0.31530000000000002</v>
      </c>
      <c r="N120">
        <v>10.497139626715805</v>
      </c>
      <c r="O120">
        <v>165</v>
      </c>
      <c r="P120">
        <v>63</v>
      </c>
      <c r="Q120">
        <v>0.38181818181818183</v>
      </c>
      <c r="R120">
        <v>0.76422928989999994</v>
      </c>
      <c r="S120">
        <v>5.8401177847728802E-2</v>
      </c>
    </row>
    <row r="121" spans="1:19" x14ac:dyDescent="0.25">
      <c r="A121" t="s">
        <v>5</v>
      </c>
      <c r="B121" t="s">
        <v>72</v>
      </c>
      <c r="C121" t="s">
        <v>146</v>
      </c>
      <c r="D121" t="s">
        <v>400</v>
      </c>
      <c r="E121" t="s">
        <v>332</v>
      </c>
      <c r="F121" t="s">
        <v>86</v>
      </c>
      <c r="G121" t="s">
        <v>315</v>
      </c>
      <c r="H121">
        <v>38</v>
      </c>
      <c r="I121">
        <v>11.15</v>
      </c>
      <c r="J121">
        <v>5.68</v>
      </c>
      <c r="K121">
        <f>(I121*J121^2)^(1/3)</f>
        <v>7.1119797752489733</v>
      </c>
      <c r="L121">
        <v>1.9630281690140847</v>
      </c>
      <c r="M121">
        <v>0.15290000000000001</v>
      </c>
      <c r="N121">
        <v>11.248441639125588</v>
      </c>
      <c r="O121">
        <v>7</v>
      </c>
      <c r="P121">
        <v>7</v>
      </c>
      <c r="Q121">
        <v>1</v>
      </c>
      <c r="R121">
        <v>0.83340679728571421</v>
      </c>
      <c r="S121">
        <v>0.1000904338083414</v>
      </c>
    </row>
    <row r="122" spans="1:19" x14ac:dyDescent="0.25">
      <c r="A122" t="s">
        <v>5</v>
      </c>
      <c r="B122" t="s">
        <v>72</v>
      </c>
      <c r="C122" s="3" t="s">
        <v>71</v>
      </c>
      <c r="D122" t="s">
        <v>400</v>
      </c>
      <c r="E122" t="s">
        <v>333</v>
      </c>
      <c r="F122" t="s">
        <v>3</v>
      </c>
      <c r="G122" t="s">
        <v>317</v>
      </c>
      <c r="H122">
        <v>20</v>
      </c>
      <c r="I122">
        <v>7.03</v>
      </c>
      <c r="J122">
        <v>3.56</v>
      </c>
      <c r="K122">
        <f>(I122*J122^2)^(1/3)</f>
        <v>4.4663399280809006</v>
      </c>
      <c r="L122">
        <v>1.9747191011235956</v>
      </c>
      <c r="M122">
        <v>3.6900000000000002E-2</v>
      </c>
      <c r="N122">
        <v>9.9680991604715228</v>
      </c>
      <c r="O122">
        <v>12</v>
      </c>
      <c r="P122">
        <v>9</v>
      </c>
      <c r="Q122">
        <v>0.75</v>
      </c>
      <c r="R122">
        <v>0.6598791866664635</v>
      </c>
      <c r="S122">
        <v>2.4005581617511162E-2</v>
      </c>
    </row>
    <row r="123" spans="1:19" x14ac:dyDescent="0.25">
      <c r="A123" t="s">
        <v>5</v>
      </c>
      <c r="B123" t="s">
        <v>72</v>
      </c>
      <c r="C123" t="s">
        <v>73</v>
      </c>
      <c r="D123" t="s">
        <v>400</v>
      </c>
      <c r="E123" t="s">
        <v>333</v>
      </c>
      <c r="F123" t="s">
        <v>3</v>
      </c>
      <c r="G123" t="s">
        <v>317</v>
      </c>
      <c r="H123">
        <v>41</v>
      </c>
      <c r="I123">
        <v>11.91</v>
      </c>
      <c r="J123">
        <v>6.79</v>
      </c>
      <c r="K123">
        <f>(I123*J123^2)^(1/3)</f>
        <v>8.1887404009251483</v>
      </c>
      <c r="L123">
        <v>1.7540500736377025</v>
      </c>
      <c r="M123">
        <v>0.22969999999999999</v>
      </c>
      <c r="N123">
        <v>14.031038872052982</v>
      </c>
      <c r="O123">
        <v>243</v>
      </c>
      <c r="P123">
        <v>237</v>
      </c>
      <c r="Q123">
        <v>0.97530864197530864</v>
      </c>
      <c r="R123">
        <v>0.66714913929999997</v>
      </c>
      <c r="S123">
        <v>4.8049747054375848E-2</v>
      </c>
    </row>
    <row r="124" spans="1:19" x14ac:dyDescent="0.25">
      <c r="A124" t="s">
        <v>5</v>
      </c>
      <c r="B124" t="s">
        <v>72</v>
      </c>
      <c r="C124" s="3" t="s">
        <v>74</v>
      </c>
      <c r="D124" t="s">
        <v>400</v>
      </c>
      <c r="E124" t="s">
        <v>333</v>
      </c>
      <c r="F124" t="s">
        <v>3</v>
      </c>
      <c r="G124" t="s">
        <v>317</v>
      </c>
      <c r="H124">
        <v>20</v>
      </c>
      <c r="I124">
        <v>7.73</v>
      </c>
      <c r="J124">
        <v>3.74</v>
      </c>
      <c r="K124">
        <f>(I124*J124^2)^(1/3)</f>
        <v>4.7640272040628773</v>
      </c>
      <c r="L124">
        <v>2.0668449197860963</v>
      </c>
      <c r="M124">
        <v>4.6100000000000002E-2</v>
      </c>
      <c r="N124">
        <v>9.5287241047166429</v>
      </c>
      <c r="O124">
        <v>19</v>
      </c>
      <c r="P124">
        <v>17</v>
      </c>
      <c r="Q124">
        <v>0.89473684210526316</v>
      </c>
      <c r="R124">
        <v>0.62817151410000005</v>
      </c>
      <c r="S124">
        <v>2.1904481006826029E-2</v>
      </c>
    </row>
    <row r="125" spans="1:19" x14ac:dyDescent="0.25">
      <c r="A125" t="s">
        <v>5</v>
      </c>
      <c r="B125" t="s">
        <v>72</v>
      </c>
      <c r="C125" t="s">
        <v>147</v>
      </c>
      <c r="D125" t="s">
        <v>400</v>
      </c>
      <c r="E125" t="s">
        <v>332</v>
      </c>
      <c r="F125" t="s">
        <v>86</v>
      </c>
      <c r="G125" t="s">
        <v>315</v>
      </c>
      <c r="H125">
        <v>36</v>
      </c>
      <c r="I125">
        <v>9.9700000000000006</v>
      </c>
      <c r="J125">
        <v>5.22</v>
      </c>
      <c r="K125">
        <f>(I125*J125^2)^(1/3)</f>
        <v>6.4765748359544704</v>
      </c>
      <c r="L125">
        <v>1.9099616858237549</v>
      </c>
      <c r="M125">
        <v>0.109</v>
      </c>
      <c r="N125">
        <v>10.992744944204123</v>
      </c>
      <c r="O125">
        <v>151</v>
      </c>
      <c r="P125">
        <v>157</v>
      </c>
      <c r="Q125">
        <v>1.0397350993377483</v>
      </c>
      <c r="R125">
        <v>0.65651719330000013</v>
      </c>
      <c r="S125">
        <v>8.3732140747868389E-2</v>
      </c>
    </row>
    <row r="126" spans="1:19" x14ac:dyDescent="0.25">
      <c r="A126" t="s">
        <v>5</v>
      </c>
      <c r="B126" t="s">
        <v>72</v>
      </c>
      <c r="C126" t="s">
        <v>148</v>
      </c>
      <c r="D126" t="s">
        <v>400</v>
      </c>
      <c r="E126" t="s">
        <v>332</v>
      </c>
      <c r="F126" t="s">
        <v>86</v>
      </c>
      <c r="G126" t="s">
        <v>315</v>
      </c>
      <c r="H126">
        <v>32</v>
      </c>
      <c r="I126">
        <v>9.0399999999999991</v>
      </c>
      <c r="J126">
        <v>4.8</v>
      </c>
      <c r="K126">
        <f>(I126*J126^2)^(1/3)</f>
        <v>5.9276647736696502</v>
      </c>
      <c r="L126">
        <v>1.8833333333333333</v>
      </c>
      <c r="M126">
        <v>8.77E-2</v>
      </c>
      <c r="N126">
        <v>11.657478399925013</v>
      </c>
      <c r="O126">
        <v>88</v>
      </c>
      <c r="P126">
        <v>92</v>
      </c>
      <c r="Q126">
        <v>1.0454545454545454</v>
      </c>
      <c r="R126">
        <v>0.67218999109999999</v>
      </c>
      <c r="S126">
        <v>3.0279465141877033E-2</v>
      </c>
    </row>
    <row r="127" spans="1:19" x14ac:dyDescent="0.25">
      <c r="A127" t="s">
        <v>5</v>
      </c>
      <c r="B127" t="s">
        <v>72</v>
      </c>
      <c r="C127" t="s">
        <v>149</v>
      </c>
      <c r="D127" t="s">
        <v>400</v>
      </c>
      <c r="E127" t="s">
        <v>332</v>
      </c>
      <c r="F127" t="s">
        <v>86</v>
      </c>
      <c r="G127" t="s">
        <v>315</v>
      </c>
      <c r="H127">
        <v>20</v>
      </c>
      <c r="I127">
        <v>7.71</v>
      </c>
      <c r="J127">
        <v>3.81</v>
      </c>
      <c r="K127">
        <f>(I127*J127^2)^(1/3)</f>
        <v>4.8191240954705998</v>
      </c>
      <c r="L127">
        <v>2.0236220472440944</v>
      </c>
      <c r="M127">
        <v>4.3299999999999998E-2</v>
      </c>
      <c r="N127">
        <v>9.015598242990075</v>
      </c>
      <c r="O127">
        <v>21</v>
      </c>
      <c r="P127">
        <v>18</v>
      </c>
      <c r="Q127">
        <v>0.8571428571428571</v>
      </c>
      <c r="R127">
        <v>0.60904084169999995</v>
      </c>
      <c r="S127">
        <v>2.3491454202035196E-2</v>
      </c>
    </row>
    <row r="128" spans="1:19" x14ac:dyDescent="0.25">
      <c r="A128" t="s">
        <v>5</v>
      </c>
      <c r="B128" t="s">
        <v>72</v>
      </c>
      <c r="C128" t="s">
        <v>150</v>
      </c>
      <c r="D128" t="s">
        <v>400</v>
      </c>
      <c r="E128" t="s">
        <v>332</v>
      </c>
      <c r="F128" t="s">
        <v>86</v>
      </c>
      <c r="G128" t="s">
        <v>315</v>
      </c>
      <c r="H128">
        <v>28</v>
      </c>
      <c r="I128">
        <v>9.52</v>
      </c>
      <c r="J128">
        <v>4.58</v>
      </c>
      <c r="K128">
        <f>(I128*J128^2)^(1/3)</f>
        <v>5.8450644128070071</v>
      </c>
      <c r="L128">
        <v>2.0786026200873362</v>
      </c>
      <c r="M128">
        <v>7.5399999999999995E-2</v>
      </c>
      <c r="N128">
        <v>8.6619396074074402</v>
      </c>
      <c r="O128">
        <v>20</v>
      </c>
      <c r="P128">
        <v>20</v>
      </c>
      <c r="Q128">
        <v>1</v>
      </c>
      <c r="R128">
        <v>0.71299434419999996</v>
      </c>
      <c r="S128">
        <v>2.9208142837059279E-2</v>
      </c>
    </row>
    <row r="129" spans="1:19" x14ac:dyDescent="0.25">
      <c r="A129" t="s">
        <v>5</v>
      </c>
      <c r="B129" t="s">
        <v>72</v>
      </c>
      <c r="C129" t="s">
        <v>151</v>
      </c>
      <c r="D129" t="s">
        <v>400</v>
      </c>
      <c r="E129" t="s">
        <v>332</v>
      </c>
      <c r="F129" t="s">
        <v>86</v>
      </c>
      <c r="G129" t="s">
        <v>315</v>
      </c>
      <c r="H129">
        <v>43</v>
      </c>
      <c r="I129">
        <v>11.04</v>
      </c>
      <c r="J129">
        <v>6.38</v>
      </c>
      <c r="K129">
        <f>(I129*J129^2)^(1/3)</f>
        <v>7.6595539055817836</v>
      </c>
      <c r="L129">
        <v>1.7304075235109717</v>
      </c>
      <c r="M129">
        <v>0.20630000000000001</v>
      </c>
      <c r="N129">
        <v>15.607251939153365</v>
      </c>
      <c r="O129">
        <v>230</v>
      </c>
      <c r="P129">
        <v>220</v>
      </c>
      <c r="Q129">
        <v>0.95652173913043481</v>
      </c>
      <c r="R129">
        <v>0.61315639020000001</v>
      </c>
      <c r="S129">
        <v>3.959321203762859E-2</v>
      </c>
    </row>
    <row r="130" spans="1:19" x14ac:dyDescent="0.25">
      <c r="A130" t="s">
        <v>5</v>
      </c>
      <c r="B130" t="s">
        <v>72</v>
      </c>
      <c r="C130" t="s">
        <v>75</v>
      </c>
      <c r="D130" t="s">
        <v>400</v>
      </c>
      <c r="E130" t="s">
        <v>333</v>
      </c>
      <c r="F130" t="s">
        <v>3</v>
      </c>
      <c r="G130" t="s">
        <v>317</v>
      </c>
      <c r="H130">
        <v>28</v>
      </c>
      <c r="I130">
        <v>9.0500000000000007</v>
      </c>
      <c r="J130">
        <v>4.49</v>
      </c>
      <c r="K130">
        <f>(I130*J130^2)^(1/3)</f>
        <v>5.671706563892605</v>
      </c>
      <c r="L130">
        <v>2.0155902004454345</v>
      </c>
      <c r="M130">
        <v>7.2700000000000001E-2</v>
      </c>
      <c r="N130">
        <v>9.6335291866840649</v>
      </c>
      <c r="O130">
        <v>47</v>
      </c>
      <c r="P130">
        <v>46</v>
      </c>
      <c r="Q130">
        <v>0.97872340425531912</v>
      </c>
      <c r="R130">
        <v>0.64839016249999992</v>
      </c>
      <c r="S130">
        <v>4.1976341263039278E-2</v>
      </c>
    </row>
    <row r="131" spans="1:19" x14ac:dyDescent="0.25">
      <c r="A131" t="s">
        <v>5</v>
      </c>
      <c r="B131" t="s">
        <v>72</v>
      </c>
      <c r="C131" t="s">
        <v>76</v>
      </c>
      <c r="D131" t="s">
        <v>400</v>
      </c>
      <c r="E131" t="s">
        <v>333</v>
      </c>
      <c r="F131" t="s">
        <v>3</v>
      </c>
      <c r="G131" t="s">
        <v>317</v>
      </c>
      <c r="H131">
        <v>28</v>
      </c>
      <c r="I131">
        <v>9.6300000000000008</v>
      </c>
      <c r="J131">
        <v>4.67</v>
      </c>
      <c r="K131">
        <f>(I131*J131^2)^(1/3)</f>
        <v>5.9441078784868777</v>
      </c>
      <c r="L131">
        <v>2.0620985010706638</v>
      </c>
      <c r="M131">
        <v>8.9099999999999999E-2</v>
      </c>
      <c r="N131">
        <v>9.9094961745310641</v>
      </c>
      <c r="O131">
        <v>37</v>
      </c>
      <c r="P131">
        <v>37</v>
      </c>
      <c r="Q131">
        <v>1</v>
      </c>
      <c r="R131">
        <v>0.68820906589999997</v>
      </c>
      <c r="S131">
        <v>2.3345731609736391E-2</v>
      </c>
    </row>
    <row r="132" spans="1:19" x14ac:dyDescent="0.25">
      <c r="A132" t="s">
        <v>5</v>
      </c>
      <c r="B132" t="s">
        <v>72</v>
      </c>
      <c r="C132" t="s">
        <v>77</v>
      </c>
      <c r="D132" t="s">
        <v>400</v>
      </c>
      <c r="E132" t="s">
        <v>333</v>
      </c>
      <c r="F132" t="s">
        <v>3</v>
      </c>
      <c r="G132" t="s">
        <v>317</v>
      </c>
      <c r="H132">
        <v>48</v>
      </c>
      <c r="I132">
        <v>14.45</v>
      </c>
      <c r="J132">
        <v>7.34</v>
      </c>
      <c r="K132">
        <f>(I132*J132^2)^(1/3)</f>
        <v>9.1992690818184002</v>
      </c>
      <c r="L132">
        <v>1.9686648501362398</v>
      </c>
      <c r="M132">
        <v>0.3125</v>
      </c>
      <c r="N132">
        <v>11.066816091097841</v>
      </c>
      <c r="O132">
        <v>88</v>
      </c>
      <c r="P132">
        <v>61</v>
      </c>
      <c r="Q132">
        <v>0.69318181818181823</v>
      </c>
      <c r="R132">
        <v>0.63053008999999993</v>
      </c>
      <c r="S132">
        <v>6.5258936344184171E-2</v>
      </c>
    </row>
    <row r="133" spans="1:19" x14ac:dyDescent="0.25">
      <c r="A133" t="s">
        <v>5</v>
      </c>
      <c r="B133" t="s">
        <v>79</v>
      </c>
      <c r="C133" t="s">
        <v>152</v>
      </c>
      <c r="D133" t="s">
        <v>397</v>
      </c>
      <c r="E133" t="s">
        <v>329</v>
      </c>
      <c r="F133" t="s">
        <v>86</v>
      </c>
      <c r="G133" t="s">
        <v>315</v>
      </c>
      <c r="H133">
        <v>40</v>
      </c>
      <c r="I133">
        <v>10.23</v>
      </c>
      <c r="J133">
        <v>5.74</v>
      </c>
      <c r="K133">
        <f>(I133*J133^2)^(1/3)</f>
        <v>6.9593146537479944</v>
      </c>
      <c r="L133">
        <v>1.7822299651567943</v>
      </c>
      <c r="M133">
        <v>0.15390000000000001</v>
      </c>
      <c r="N133">
        <v>14.434087469536362</v>
      </c>
      <c r="O133">
        <v>194</v>
      </c>
      <c r="P133">
        <v>46</v>
      </c>
      <c r="Q133">
        <v>0.23711340206185566</v>
      </c>
      <c r="R133">
        <v>0.55874714830000005</v>
      </c>
      <c r="S133">
        <v>7.8778014989551615E-2</v>
      </c>
    </row>
    <row r="134" spans="1:19" x14ac:dyDescent="0.25">
      <c r="A134" t="s">
        <v>5</v>
      </c>
      <c r="B134" t="s">
        <v>79</v>
      </c>
      <c r="C134" t="s">
        <v>78</v>
      </c>
      <c r="D134" t="s">
        <v>397</v>
      </c>
      <c r="E134" t="s">
        <v>345</v>
      </c>
      <c r="F134" t="s">
        <v>3</v>
      </c>
      <c r="G134" t="s">
        <v>317</v>
      </c>
      <c r="H134">
        <v>35</v>
      </c>
      <c r="I134">
        <v>10.49</v>
      </c>
      <c r="J134">
        <v>5.36</v>
      </c>
      <c r="K134">
        <f>(I134*J134^2)^(1/3)</f>
        <v>6.7045302694576554</v>
      </c>
      <c r="L134">
        <v>1.9570895522388059</v>
      </c>
      <c r="M134">
        <v>0.1225</v>
      </c>
      <c r="N134">
        <v>10.70407669076253</v>
      </c>
      <c r="O134">
        <v>125</v>
      </c>
      <c r="P134">
        <v>72</v>
      </c>
      <c r="Q134">
        <v>0.57599999999999996</v>
      </c>
      <c r="R134">
        <v>0.64007661459999998</v>
      </c>
      <c r="S134">
        <v>5.0673895234532897E-2</v>
      </c>
    </row>
    <row r="135" spans="1:19" x14ac:dyDescent="0.25">
      <c r="A135" t="s">
        <v>5</v>
      </c>
      <c r="B135" t="s">
        <v>79</v>
      </c>
      <c r="C135" t="s">
        <v>80</v>
      </c>
      <c r="D135" t="s">
        <v>397</v>
      </c>
      <c r="E135" t="s">
        <v>345</v>
      </c>
      <c r="F135" t="s">
        <v>3</v>
      </c>
      <c r="G135" t="s">
        <v>317</v>
      </c>
      <c r="H135">
        <v>37</v>
      </c>
      <c r="I135">
        <v>10.039999999999999</v>
      </c>
      <c r="J135">
        <v>5.54</v>
      </c>
      <c r="K135">
        <f>(I135*J135^2)^(1/3)</f>
        <v>6.7543632621584591</v>
      </c>
      <c r="L135">
        <v>1.8122743682310467</v>
      </c>
      <c r="M135">
        <v>0.1135</v>
      </c>
      <c r="N135">
        <v>11.222943884166105</v>
      </c>
      <c r="O135">
        <v>118</v>
      </c>
      <c r="P135">
        <v>92</v>
      </c>
      <c r="Q135">
        <v>0.77966101694915257</v>
      </c>
      <c r="R135">
        <v>0.68142186859999998</v>
      </c>
      <c r="S135">
        <v>5.7488980845023026E-2</v>
      </c>
    </row>
    <row r="136" spans="1:19" x14ac:dyDescent="0.25">
      <c r="A136" t="s">
        <v>5</v>
      </c>
      <c r="B136" t="s">
        <v>79</v>
      </c>
      <c r="C136" t="s">
        <v>81</v>
      </c>
      <c r="D136" t="s">
        <v>397</v>
      </c>
      <c r="E136" t="s">
        <v>345</v>
      </c>
      <c r="F136" t="s">
        <v>3</v>
      </c>
      <c r="G136" t="s">
        <v>317</v>
      </c>
      <c r="H136">
        <v>31</v>
      </c>
      <c r="I136">
        <v>8.11</v>
      </c>
      <c r="J136">
        <v>4.5</v>
      </c>
      <c r="K136">
        <f>(I136*J136^2)^(1/3)</f>
        <v>5.4762335370334991</v>
      </c>
      <c r="L136">
        <v>1.8022222222222222</v>
      </c>
      <c r="M136">
        <v>6.59E-2</v>
      </c>
      <c r="N136">
        <v>11.897250495687521</v>
      </c>
      <c r="O136">
        <v>15</v>
      </c>
      <c r="P136">
        <v>0</v>
      </c>
      <c r="Q136">
        <v>0</v>
      </c>
      <c r="R136">
        <v>0.68704751610000014</v>
      </c>
      <c r="S136">
        <v>4.198700529703165E-2</v>
      </c>
    </row>
    <row r="137" spans="1:19" x14ac:dyDescent="0.25">
      <c r="A137" t="s">
        <v>5</v>
      </c>
      <c r="B137" t="s">
        <v>79</v>
      </c>
      <c r="C137" t="s">
        <v>153</v>
      </c>
      <c r="D137" t="s">
        <v>397</v>
      </c>
      <c r="E137" t="s">
        <v>329</v>
      </c>
      <c r="F137" t="s">
        <v>86</v>
      </c>
      <c r="G137" t="s">
        <v>315</v>
      </c>
      <c r="H137">
        <v>20</v>
      </c>
      <c r="I137">
        <v>7.21</v>
      </c>
      <c r="J137">
        <v>3.75</v>
      </c>
      <c r="K137">
        <f>(I137*J137^2)^(1/3)</f>
        <v>4.6630055610706069</v>
      </c>
      <c r="L137">
        <v>1.9226666666666667</v>
      </c>
      <c r="M137">
        <v>3.8600000000000002E-2</v>
      </c>
      <c r="N137">
        <v>9.7097904678362639</v>
      </c>
      <c r="O137">
        <v>17</v>
      </c>
      <c r="P137">
        <v>11</v>
      </c>
      <c r="Q137">
        <v>0.6470588235294118</v>
      </c>
      <c r="R137">
        <v>0.61428421840000003</v>
      </c>
      <c r="S137">
        <v>7.9389189349663894E-2</v>
      </c>
    </row>
    <row r="138" spans="1:19" x14ac:dyDescent="0.25">
      <c r="A138" t="s">
        <v>5</v>
      </c>
      <c r="B138" t="s">
        <v>79</v>
      </c>
      <c r="C138" t="s">
        <v>154</v>
      </c>
      <c r="D138" t="s">
        <v>397</v>
      </c>
      <c r="E138" t="s">
        <v>329</v>
      </c>
      <c r="F138" t="s">
        <v>86</v>
      </c>
      <c r="G138" t="s">
        <v>315</v>
      </c>
      <c r="H138">
        <v>33</v>
      </c>
      <c r="I138">
        <v>10</v>
      </c>
      <c r="J138">
        <v>4.97</v>
      </c>
      <c r="K138">
        <f>(I138*J138^2)^(1/3)</f>
        <v>6.2743815626235504</v>
      </c>
      <c r="L138">
        <v>2.0120724346076462</v>
      </c>
      <c r="M138">
        <v>9.7799999999999998E-2</v>
      </c>
      <c r="N138">
        <v>9.7799999999999994</v>
      </c>
      <c r="O138">
        <v>126</v>
      </c>
      <c r="P138">
        <v>100</v>
      </c>
      <c r="Q138">
        <v>0.79365079365079361</v>
      </c>
      <c r="R138">
        <v>0.59819090389999996</v>
      </c>
      <c r="S138">
        <v>4.9022643083624168E-2</v>
      </c>
    </row>
    <row r="139" spans="1:19" x14ac:dyDescent="0.25">
      <c r="A139" t="s">
        <v>5</v>
      </c>
      <c r="B139" t="s">
        <v>79</v>
      </c>
      <c r="C139" t="s">
        <v>155</v>
      </c>
      <c r="D139" t="s">
        <v>397</v>
      </c>
      <c r="E139" t="s">
        <v>329</v>
      </c>
      <c r="F139" t="s">
        <v>86</v>
      </c>
      <c r="G139" t="s">
        <v>315</v>
      </c>
      <c r="H139">
        <v>39</v>
      </c>
      <c r="I139">
        <v>10.050000000000001</v>
      </c>
      <c r="J139">
        <v>5.27</v>
      </c>
      <c r="K139">
        <f>(I139*J139^2)^(1/3)</f>
        <v>6.5352533851233146</v>
      </c>
      <c r="L139">
        <v>1.9070208728652753</v>
      </c>
      <c r="M139">
        <v>0.1193</v>
      </c>
      <c r="N139">
        <v>11.763380622376875</v>
      </c>
      <c r="O139">
        <v>81</v>
      </c>
      <c r="P139">
        <v>49</v>
      </c>
      <c r="Q139">
        <v>0.60493827160493829</v>
      </c>
      <c r="R139">
        <v>0.64092754359999993</v>
      </c>
      <c r="S139">
        <v>4.0687400811954585E-2</v>
      </c>
    </row>
    <row r="140" spans="1:19" x14ac:dyDescent="0.25">
      <c r="A140" t="s">
        <v>5</v>
      </c>
      <c r="B140" t="s">
        <v>79</v>
      </c>
      <c r="C140" t="s">
        <v>156</v>
      </c>
      <c r="D140" t="s">
        <v>397</v>
      </c>
      <c r="E140" t="s">
        <v>329</v>
      </c>
      <c r="F140" t="s">
        <v>86</v>
      </c>
      <c r="G140" t="s">
        <v>315</v>
      </c>
      <c r="H140">
        <v>28</v>
      </c>
      <c r="I140">
        <v>8.1199999999999992</v>
      </c>
      <c r="J140">
        <v>3.91</v>
      </c>
      <c r="K140">
        <f>(I140*J140^2)^(1/3)</f>
        <v>4.9884985234937789</v>
      </c>
      <c r="L140">
        <v>2.0767263427109972</v>
      </c>
      <c r="M140">
        <v>5.1400000000000001E-2</v>
      </c>
      <c r="N140">
        <v>9.2473036056807008</v>
      </c>
      <c r="O140">
        <v>21</v>
      </c>
      <c r="P140">
        <v>21</v>
      </c>
      <c r="Q140">
        <v>1</v>
      </c>
      <c r="R140">
        <v>0.62927010179999998</v>
      </c>
      <c r="S140">
        <v>4.480911581684624E-2</v>
      </c>
    </row>
    <row r="141" spans="1:19" x14ac:dyDescent="0.25">
      <c r="A141" t="s">
        <v>5</v>
      </c>
      <c r="B141" t="s">
        <v>79</v>
      </c>
      <c r="C141" t="s">
        <v>157</v>
      </c>
      <c r="D141" t="s">
        <v>397</v>
      </c>
      <c r="E141" t="s">
        <v>329</v>
      </c>
      <c r="F141" t="s">
        <v>86</v>
      </c>
      <c r="G141" t="s">
        <v>315</v>
      </c>
      <c r="H141">
        <v>33</v>
      </c>
      <c r="I141">
        <v>9.94</v>
      </c>
      <c r="J141">
        <v>5.27</v>
      </c>
      <c r="K141">
        <f>(I141*J141^2)^(1/3)</f>
        <v>6.5113224826470555</v>
      </c>
      <c r="L141">
        <v>1.8861480075901329</v>
      </c>
      <c r="M141">
        <v>0.11119999999999999</v>
      </c>
      <c r="N141">
        <v>11.310327572343375</v>
      </c>
      <c r="O141">
        <v>109</v>
      </c>
      <c r="P141">
        <v>99</v>
      </c>
      <c r="Q141">
        <v>0.90825688073394495</v>
      </c>
      <c r="R141">
        <v>0.59298727929999995</v>
      </c>
      <c r="S141">
        <v>4.510748094460882E-2</v>
      </c>
    </row>
    <row r="142" spans="1:19" x14ac:dyDescent="0.25">
      <c r="A142" t="s">
        <v>5</v>
      </c>
      <c r="B142" t="s">
        <v>79</v>
      </c>
      <c r="C142" t="s">
        <v>82</v>
      </c>
      <c r="D142" t="s">
        <v>397</v>
      </c>
      <c r="E142" t="s">
        <v>345</v>
      </c>
      <c r="F142" t="s">
        <v>3</v>
      </c>
      <c r="G142" t="s">
        <v>317</v>
      </c>
      <c r="H142">
        <v>35</v>
      </c>
      <c r="I142">
        <v>8.91</v>
      </c>
      <c r="J142">
        <v>4.84</v>
      </c>
      <c r="K142">
        <f>(I142*J142^2)^(1/3)</f>
        <v>5.9318406490699491</v>
      </c>
      <c r="L142">
        <v>1.8409090909090911</v>
      </c>
      <c r="M142">
        <v>8.5500000000000007E-2</v>
      </c>
      <c r="N142">
        <v>11.838890108320628</v>
      </c>
      <c r="O142">
        <v>34</v>
      </c>
      <c r="P142">
        <v>33</v>
      </c>
      <c r="Q142">
        <v>0.97058823529411764</v>
      </c>
      <c r="R142">
        <v>0.60035386120000001</v>
      </c>
      <c r="S142">
        <v>3.1671889591362662E-2</v>
      </c>
    </row>
    <row r="143" spans="1:19" x14ac:dyDescent="0.25">
      <c r="A143" t="s">
        <v>5</v>
      </c>
      <c r="B143" t="s">
        <v>79</v>
      </c>
      <c r="C143" t="s">
        <v>83</v>
      </c>
      <c r="D143" t="s">
        <v>397</v>
      </c>
      <c r="E143" t="s">
        <v>345</v>
      </c>
      <c r="F143" t="s">
        <v>3</v>
      </c>
      <c r="G143" t="s">
        <v>317</v>
      </c>
      <c r="H143">
        <v>37</v>
      </c>
      <c r="I143">
        <v>9.32</v>
      </c>
      <c r="J143">
        <v>5.07</v>
      </c>
      <c r="K143">
        <f>(I143*J143^2)^(1/3)</f>
        <v>6.210748507565933</v>
      </c>
      <c r="L143">
        <v>1.8382642998027614</v>
      </c>
      <c r="M143">
        <v>9.2999999999999999E-2</v>
      </c>
      <c r="N143">
        <v>11.343055988035589</v>
      </c>
      <c r="O143">
        <v>71</v>
      </c>
      <c r="P143">
        <v>59</v>
      </c>
      <c r="Q143">
        <v>0.83098591549295775</v>
      </c>
      <c r="R143">
        <v>0.62766248960000004</v>
      </c>
      <c r="S143">
        <v>3.5641059324510442E-2</v>
      </c>
    </row>
    <row r="144" spans="1:19" x14ac:dyDescent="0.25">
      <c r="A144" t="s">
        <v>5</v>
      </c>
      <c r="B144" t="s">
        <v>79</v>
      </c>
      <c r="C144" t="s">
        <v>84</v>
      </c>
      <c r="D144" t="s">
        <v>397</v>
      </c>
      <c r="E144" t="s">
        <v>345</v>
      </c>
      <c r="F144" t="s">
        <v>3</v>
      </c>
      <c r="G144" t="s">
        <v>317</v>
      </c>
      <c r="H144">
        <v>37</v>
      </c>
      <c r="I144">
        <v>8.51</v>
      </c>
      <c r="J144">
        <v>5.26</v>
      </c>
      <c r="K144">
        <f>(I144*J144^2)^(1/3)</f>
        <v>6.1749533759257842</v>
      </c>
      <c r="L144">
        <v>1.6178707224334601</v>
      </c>
      <c r="M144">
        <v>0.1081</v>
      </c>
      <c r="N144">
        <v>17.038224429135123</v>
      </c>
      <c r="O144">
        <v>30</v>
      </c>
      <c r="P144">
        <v>21</v>
      </c>
      <c r="Q144">
        <v>0.7</v>
      </c>
      <c r="R144">
        <v>0.64842814520000003</v>
      </c>
      <c r="S144">
        <v>5.4849420195409303E-2</v>
      </c>
    </row>
    <row r="145" spans="1:19" x14ac:dyDescent="0.25">
      <c r="A145" s="6" t="s">
        <v>159</v>
      </c>
      <c r="B145" s="1" t="s">
        <v>45</v>
      </c>
      <c r="C145" s="1" t="s">
        <v>236</v>
      </c>
      <c r="D145" s="6" t="s">
        <v>409</v>
      </c>
      <c r="E145" s="6" t="s">
        <v>377</v>
      </c>
      <c r="F145" s="1" t="s">
        <v>86</v>
      </c>
      <c r="G145" s="6" t="s">
        <v>316</v>
      </c>
      <c r="H145" s="1">
        <v>23</v>
      </c>
      <c r="I145" s="1">
        <v>7.06</v>
      </c>
      <c r="J145" s="2">
        <v>3.9</v>
      </c>
      <c r="K145" s="6">
        <f t="shared" ref="K131:K194" si="0">(I145*J145^2)^(1/3)</f>
        <v>4.7531111658593614</v>
      </c>
      <c r="L145" s="1">
        <v>1.8102564102564103</v>
      </c>
      <c r="M145" s="2">
        <v>4.2299999999999997E-2</v>
      </c>
      <c r="N145" s="6">
        <v>11.290446323919891</v>
      </c>
      <c r="O145" s="2">
        <v>26</v>
      </c>
      <c r="P145" s="1">
        <v>23</v>
      </c>
      <c r="Q145" s="1">
        <v>0.88461538461538458</v>
      </c>
      <c r="R145" s="1">
        <v>0.58700004721700405</v>
      </c>
      <c r="S145" s="1">
        <v>4.3223650630434186E-2</v>
      </c>
    </row>
    <row r="146" spans="1:19" x14ac:dyDescent="0.25">
      <c r="A146" s="6" t="s">
        <v>159</v>
      </c>
      <c r="B146" s="1" t="s">
        <v>17</v>
      </c>
      <c r="C146" s="1" t="s">
        <v>237</v>
      </c>
      <c r="D146" s="6" t="s">
        <v>410</v>
      </c>
      <c r="E146" s="6" t="s">
        <v>378</v>
      </c>
      <c r="F146" s="1" t="s">
        <v>86</v>
      </c>
      <c r="G146" s="6" t="s">
        <v>316</v>
      </c>
      <c r="H146" s="1">
        <v>25</v>
      </c>
      <c r="I146" s="1">
        <v>8.6300000000000008</v>
      </c>
      <c r="J146" s="2">
        <v>4.17</v>
      </c>
      <c r="K146" s="6">
        <f t="shared" si="0"/>
        <v>5.3140744579937946</v>
      </c>
      <c r="L146" s="1">
        <v>2.0695443645083933</v>
      </c>
      <c r="M146" s="2">
        <v>5.8700000000000002E-2</v>
      </c>
      <c r="N146" s="6">
        <v>8.8938061095858458</v>
      </c>
      <c r="O146" s="2">
        <v>37</v>
      </c>
      <c r="P146" s="1">
        <v>29</v>
      </c>
      <c r="Q146" s="1">
        <v>0.78378378378378377</v>
      </c>
      <c r="R146" s="1">
        <v>0.67708312912093527</v>
      </c>
      <c r="S146" s="1">
        <v>5.0770799666141633E-2</v>
      </c>
    </row>
    <row r="147" spans="1:19" x14ac:dyDescent="0.25">
      <c r="A147" s="6" t="s">
        <v>159</v>
      </c>
      <c r="B147" s="1" t="s">
        <v>58</v>
      </c>
      <c r="C147" s="2" t="s">
        <v>238</v>
      </c>
      <c r="D147" s="6" t="s">
        <v>411</v>
      </c>
      <c r="E147" s="6" t="s">
        <v>379</v>
      </c>
      <c r="F147" s="1" t="s">
        <v>86</v>
      </c>
      <c r="G147" s="6" t="s">
        <v>316</v>
      </c>
      <c r="H147" s="1">
        <v>23</v>
      </c>
      <c r="I147" s="1">
        <v>6.35</v>
      </c>
      <c r="J147" s="2">
        <v>3.33</v>
      </c>
      <c r="K147" s="6">
        <f t="shared" si="0"/>
        <v>4.1294042216025471</v>
      </c>
      <c r="L147" s="1">
        <v>1.9069069069069067</v>
      </c>
      <c r="M147" s="2">
        <v>3.7100000000000001E-2</v>
      </c>
      <c r="N147" s="6">
        <v>13.352174646798231</v>
      </c>
      <c r="O147" s="2">
        <v>17</v>
      </c>
      <c r="P147" s="1">
        <v>12</v>
      </c>
      <c r="Q147" s="1">
        <v>0.70588235294117652</v>
      </c>
      <c r="R147" s="1">
        <v>0.50989788937165348</v>
      </c>
      <c r="S147" s="1">
        <v>2.8463155837812074E-2</v>
      </c>
    </row>
    <row r="148" spans="1:19" x14ac:dyDescent="0.25">
      <c r="A148" s="6" t="s">
        <v>159</v>
      </c>
      <c r="B148" s="1" t="s">
        <v>79</v>
      </c>
      <c r="C148" s="2" t="s">
        <v>239</v>
      </c>
      <c r="D148" s="6" t="s">
        <v>412</v>
      </c>
      <c r="E148" s="6" t="s">
        <v>380</v>
      </c>
      <c r="F148" s="1" t="s">
        <v>86</v>
      </c>
      <c r="G148" s="6" t="s">
        <v>316</v>
      </c>
      <c r="H148" s="1">
        <v>24</v>
      </c>
      <c r="I148" s="2">
        <v>8.4</v>
      </c>
      <c r="J148" s="2">
        <v>4.54</v>
      </c>
      <c r="K148" s="6">
        <f t="shared" si="0"/>
        <v>5.5735298395086224</v>
      </c>
      <c r="L148" s="1">
        <v>1.8502202643171808</v>
      </c>
      <c r="M148" s="2">
        <v>6.8099999999999994E-2</v>
      </c>
      <c r="N148" s="6">
        <v>11.134725761693135</v>
      </c>
      <c r="O148" s="2">
        <v>27</v>
      </c>
      <c r="P148" s="1">
        <v>32</v>
      </c>
      <c r="Q148" s="1">
        <v>1</v>
      </c>
      <c r="R148" s="1">
        <v>0.68411417205794778</v>
      </c>
      <c r="S148" s="1">
        <v>4.371994152296968E-2</v>
      </c>
    </row>
    <row r="149" spans="1:19" x14ac:dyDescent="0.25">
      <c r="A149" s="6" t="s">
        <v>159</v>
      </c>
      <c r="B149" s="1" t="s">
        <v>17</v>
      </c>
      <c r="C149" s="2" t="s">
        <v>240</v>
      </c>
      <c r="D149" s="6" t="s">
        <v>410</v>
      </c>
      <c r="E149" s="6" t="s">
        <v>378</v>
      </c>
      <c r="F149" s="1" t="s">
        <v>86</v>
      </c>
      <c r="G149" s="6" t="s">
        <v>316</v>
      </c>
      <c r="H149" s="1">
        <v>26</v>
      </c>
      <c r="I149" s="2">
        <v>8.76</v>
      </c>
      <c r="J149" s="2">
        <v>4.03</v>
      </c>
      <c r="K149" s="6">
        <f t="shared" si="0"/>
        <v>5.2204114412704854</v>
      </c>
      <c r="L149" s="1">
        <v>2.1736972704714637</v>
      </c>
      <c r="M149" s="2">
        <v>5.7500000000000002E-2</v>
      </c>
      <c r="N149" s="6">
        <v>8.3523034667300795</v>
      </c>
      <c r="O149" s="2">
        <v>48</v>
      </c>
      <c r="P149" s="1">
        <v>46</v>
      </c>
      <c r="Q149" s="1">
        <v>0.95833333333333337</v>
      </c>
      <c r="R149" s="1">
        <v>0.62512343662108605</v>
      </c>
      <c r="S149" s="1">
        <v>3.2053753899218961E-2</v>
      </c>
    </row>
    <row r="150" spans="1:19" x14ac:dyDescent="0.25">
      <c r="A150" s="6" t="s">
        <v>159</v>
      </c>
      <c r="B150" s="1" t="s">
        <v>24</v>
      </c>
      <c r="C150" s="2" t="s">
        <v>241</v>
      </c>
      <c r="D150" s="6" t="s">
        <v>413</v>
      </c>
      <c r="E150" s="6" t="s">
        <v>381</v>
      </c>
      <c r="F150" s="1" t="s">
        <v>86</v>
      </c>
      <c r="G150" s="6" t="s">
        <v>316</v>
      </c>
      <c r="H150" s="1">
        <v>26</v>
      </c>
      <c r="I150" s="2">
        <v>10.199999999999999</v>
      </c>
      <c r="J150" s="2">
        <v>4.88</v>
      </c>
      <c r="K150" s="6">
        <f t="shared" si="0"/>
        <v>6.2394542586490278</v>
      </c>
      <c r="L150" s="1">
        <v>2.0901639344262293</v>
      </c>
      <c r="M150" s="2">
        <v>9.06E-2</v>
      </c>
      <c r="N150" s="6">
        <v>8.5679261264588131</v>
      </c>
      <c r="O150" s="2">
        <v>70</v>
      </c>
      <c r="P150" s="1">
        <v>69</v>
      </c>
      <c r="Q150" s="1">
        <v>0.98571428571428577</v>
      </c>
      <c r="R150" s="1">
        <v>0.64554490882769255</v>
      </c>
      <c r="S150" s="1">
        <v>7.5340892295058845E-2</v>
      </c>
    </row>
    <row r="151" spans="1:19" x14ac:dyDescent="0.25">
      <c r="A151" s="6" t="s">
        <v>159</v>
      </c>
      <c r="B151" s="1" t="s">
        <v>4</v>
      </c>
      <c r="C151" s="2" t="s">
        <v>242</v>
      </c>
      <c r="D151" s="6" t="s">
        <v>414</v>
      </c>
      <c r="E151" s="6" t="s">
        <v>354</v>
      </c>
      <c r="F151" s="1" t="s">
        <v>86</v>
      </c>
      <c r="G151" s="6" t="s">
        <v>316</v>
      </c>
      <c r="H151" s="1">
        <v>27</v>
      </c>
      <c r="I151" s="2">
        <v>9.6199999999999992</v>
      </c>
      <c r="J151" s="2">
        <v>4.95</v>
      </c>
      <c r="K151" s="6">
        <f t="shared" si="0"/>
        <v>6.1772496952358331</v>
      </c>
      <c r="L151" s="1">
        <v>1.9434343434343433</v>
      </c>
      <c r="M151" s="2">
        <v>8.3900000000000002E-2</v>
      </c>
      <c r="N151" s="6">
        <v>9.3585433776336764</v>
      </c>
      <c r="O151" s="2">
        <v>52</v>
      </c>
      <c r="P151" s="1">
        <v>49</v>
      </c>
      <c r="Q151" s="1">
        <v>0.94230769230769229</v>
      </c>
      <c r="R151" s="1">
        <v>0.67673613826321399</v>
      </c>
      <c r="S151" s="1">
        <v>4.7318279193787192E-2</v>
      </c>
    </row>
    <row r="152" spans="1:19" x14ac:dyDescent="0.25">
      <c r="A152" s="6" t="s">
        <v>159</v>
      </c>
      <c r="B152" s="1" t="s">
        <v>72</v>
      </c>
      <c r="C152" s="5" t="s">
        <v>243</v>
      </c>
      <c r="D152" s="6" t="s">
        <v>415</v>
      </c>
      <c r="E152" s="6" t="s">
        <v>382</v>
      </c>
      <c r="F152" s="1" t="s">
        <v>86</v>
      </c>
      <c r="G152" s="6" t="s">
        <v>316</v>
      </c>
      <c r="H152" s="1">
        <v>24</v>
      </c>
      <c r="I152" s="2">
        <v>7.34</v>
      </c>
      <c r="J152" s="2">
        <v>3.74</v>
      </c>
      <c r="K152" s="6">
        <f t="shared" si="0"/>
        <v>4.6825212265557408</v>
      </c>
      <c r="L152" s="1">
        <v>1.9625668449197859</v>
      </c>
      <c r="M152" s="2">
        <v>4.19E-2</v>
      </c>
      <c r="N152" s="6">
        <v>10.021924669250705</v>
      </c>
      <c r="O152" s="2">
        <v>27</v>
      </c>
      <c r="P152" s="1">
        <v>21</v>
      </c>
      <c r="Q152" s="1">
        <v>0.77777777777777779</v>
      </c>
      <c r="R152" s="1">
        <v>0.61065076463742096</v>
      </c>
      <c r="S152" s="1">
        <v>4.7572436646180029E-2</v>
      </c>
    </row>
    <row r="153" spans="1:19" x14ac:dyDescent="0.25">
      <c r="A153" s="6" t="s">
        <v>159</v>
      </c>
      <c r="B153" s="1" t="s">
        <v>38</v>
      </c>
      <c r="C153" s="5" t="s">
        <v>158</v>
      </c>
      <c r="D153" s="6" t="s">
        <v>416</v>
      </c>
      <c r="E153" s="6" t="s">
        <v>355</v>
      </c>
      <c r="F153" s="1" t="s">
        <v>3</v>
      </c>
      <c r="G153" s="6" t="s">
        <v>318</v>
      </c>
      <c r="H153" s="1">
        <v>26</v>
      </c>
      <c r="I153" s="2">
        <v>9.2200000000000006</v>
      </c>
      <c r="J153" s="2">
        <v>4.74</v>
      </c>
      <c r="K153" s="6">
        <f t="shared" si="0"/>
        <v>5.9169223258789003</v>
      </c>
      <c r="L153" s="1">
        <v>1.9451476793248945</v>
      </c>
      <c r="M153" s="2">
        <v>7.6499999999999999E-2</v>
      </c>
      <c r="N153" s="6">
        <v>9.6187854502899484</v>
      </c>
      <c r="O153" s="2">
        <v>43</v>
      </c>
      <c r="P153" s="1">
        <v>41</v>
      </c>
      <c r="Q153" s="1">
        <v>0.95348837209302328</v>
      </c>
      <c r="R153" s="1">
        <v>0.62917848336745885</v>
      </c>
      <c r="S153" s="1">
        <v>6.8297110041467837E-2</v>
      </c>
    </row>
    <row r="154" spans="1:19" x14ac:dyDescent="0.25">
      <c r="A154" s="6" t="s">
        <v>159</v>
      </c>
      <c r="B154" s="1" t="s">
        <v>31</v>
      </c>
      <c r="C154" s="5" t="s">
        <v>160</v>
      </c>
      <c r="D154" s="6" t="s">
        <v>417</v>
      </c>
      <c r="E154" s="6" t="s">
        <v>356</v>
      </c>
      <c r="F154" s="1" t="s">
        <v>3</v>
      </c>
      <c r="G154" s="6" t="s">
        <v>318</v>
      </c>
      <c r="H154" s="1">
        <v>26</v>
      </c>
      <c r="I154" s="2">
        <v>8.58</v>
      </c>
      <c r="J154" s="2">
        <v>4.6900000000000004</v>
      </c>
      <c r="K154" s="6">
        <f t="shared" si="0"/>
        <v>5.7360244134703953</v>
      </c>
      <c r="L154" s="1">
        <v>1.8294243070362473</v>
      </c>
      <c r="M154" s="2">
        <v>7.5899999999999995E-2</v>
      </c>
      <c r="N154" s="6">
        <v>11.689814622585352</v>
      </c>
      <c r="O154" s="2">
        <v>53</v>
      </c>
      <c r="P154" s="1">
        <v>36</v>
      </c>
      <c r="Q154" s="1">
        <v>0.67924528301886788</v>
      </c>
      <c r="R154" s="1">
        <v>0.68200348494246055</v>
      </c>
      <c r="S154" s="1">
        <v>4.1830087193530201E-2</v>
      </c>
    </row>
    <row r="155" spans="1:19" x14ac:dyDescent="0.25">
      <c r="A155" s="6" t="s">
        <v>159</v>
      </c>
      <c r="B155" s="1" t="s">
        <v>79</v>
      </c>
      <c r="C155" s="5" t="s">
        <v>161</v>
      </c>
      <c r="D155" s="6" t="s">
        <v>418</v>
      </c>
      <c r="E155" s="6" t="s">
        <v>357</v>
      </c>
      <c r="F155" s="1" t="s">
        <v>3</v>
      </c>
      <c r="G155" s="6" t="s">
        <v>318</v>
      </c>
      <c r="H155" s="1">
        <v>26</v>
      </c>
      <c r="I155" s="2">
        <v>9.2799999999999994</v>
      </c>
      <c r="J155" s="2">
        <v>4.82</v>
      </c>
      <c r="K155" s="6">
        <f t="shared" si="0"/>
        <v>5.9962631546290881</v>
      </c>
      <c r="L155" s="1">
        <v>1.9253112033195019</v>
      </c>
      <c r="M155" s="2">
        <v>8.3400000000000002E-2</v>
      </c>
      <c r="N155" s="6">
        <v>10.296289798891493</v>
      </c>
      <c r="O155" s="2">
        <v>38</v>
      </c>
      <c r="P155" s="1">
        <v>31</v>
      </c>
      <c r="Q155" s="1">
        <v>0.81578947368421051</v>
      </c>
      <c r="R155" s="1">
        <v>0.64199807059781133</v>
      </c>
      <c r="S155" s="1">
        <v>9.6572598054902647E-2</v>
      </c>
    </row>
    <row r="156" spans="1:19" x14ac:dyDescent="0.25">
      <c r="A156" s="6" t="s">
        <v>159</v>
      </c>
      <c r="B156" s="1" t="s">
        <v>45</v>
      </c>
      <c r="C156" s="5" t="s">
        <v>244</v>
      </c>
      <c r="D156" s="6" t="s">
        <v>419</v>
      </c>
      <c r="E156" s="6" t="s">
        <v>383</v>
      </c>
      <c r="F156" s="1" t="s">
        <v>86</v>
      </c>
      <c r="G156" s="6" t="s">
        <v>316</v>
      </c>
      <c r="H156" s="1">
        <v>27</v>
      </c>
      <c r="I156" s="2">
        <v>8.15</v>
      </c>
      <c r="J156" s="2">
        <v>4.53</v>
      </c>
      <c r="K156" s="6">
        <f t="shared" si="0"/>
        <v>5.5095737936455222</v>
      </c>
      <c r="L156" s="1">
        <v>1.7991169977924946</v>
      </c>
      <c r="M156" s="2">
        <v>6.7699999999999996E-2</v>
      </c>
      <c r="N156" s="6">
        <v>12.053806405319037</v>
      </c>
      <c r="O156" s="2">
        <v>28</v>
      </c>
      <c r="P156" s="1">
        <v>26</v>
      </c>
      <c r="Q156" s="1">
        <v>0.9285714285714286</v>
      </c>
      <c r="R156" s="1">
        <v>0.63969818628654418</v>
      </c>
      <c r="S156" s="1">
        <v>5.5087297687858416E-2</v>
      </c>
    </row>
    <row r="157" spans="1:19" x14ac:dyDescent="0.25">
      <c r="A157" s="6" t="s">
        <v>159</v>
      </c>
      <c r="B157" s="1" t="s">
        <v>45</v>
      </c>
      <c r="C157" s="5" t="s">
        <v>245</v>
      </c>
      <c r="D157" s="6" t="s">
        <v>419</v>
      </c>
      <c r="E157" s="6" t="s">
        <v>383</v>
      </c>
      <c r="F157" s="1" t="s">
        <v>86</v>
      </c>
      <c r="G157" s="6" t="s">
        <v>316</v>
      </c>
      <c r="H157" s="1">
        <v>27</v>
      </c>
      <c r="I157" s="2">
        <v>9.1999999999999993</v>
      </c>
      <c r="J157" s="2">
        <v>4.83</v>
      </c>
      <c r="K157" s="6">
        <f t="shared" si="0"/>
        <v>5.9872495903689629</v>
      </c>
      <c r="L157" s="1">
        <v>1.9047619047619047</v>
      </c>
      <c r="M157" s="2">
        <v>8.4500000000000006E-2</v>
      </c>
      <c r="N157" s="6">
        <v>10.689934294547234</v>
      </c>
      <c r="O157" s="2">
        <v>53</v>
      </c>
      <c r="P157" s="1">
        <v>47</v>
      </c>
      <c r="Q157" s="1">
        <v>0.8867924528301887</v>
      </c>
      <c r="R157" s="1">
        <v>0.70895916045020135</v>
      </c>
      <c r="S157" s="1">
        <v>3.6265127906110986E-2</v>
      </c>
    </row>
    <row r="158" spans="1:19" x14ac:dyDescent="0.25">
      <c r="A158" s="6" t="s">
        <v>159</v>
      </c>
      <c r="B158" s="1" t="s">
        <v>45</v>
      </c>
      <c r="C158" s="5" t="s">
        <v>246</v>
      </c>
      <c r="D158" s="6" t="s">
        <v>409</v>
      </c>
      <c r="E158" s="6" t="s">
        <v>377</v>
      </c>
      <c r="F158" s="1" t="s">
        <v>86</v>
      </c>
      <c r="G158" s="6" t="s">
        <v>316</v>
      </c>
      <c r="H158" s="1">
        <v>26</v>
      </c>
      <c r="I158" s="2">
        <v>8.1999999999999993</v>
      </c>
      <c r="J158" s="2">
        <v>4.24</v>
      </c>
      <c r="K158" s="6">
        <f t="shared" si="0"/>
        <v>5.2826096680107399</v>
      </c>
      <c r="L158" s="1">
        <v>1.9339622641509431</v>
      </c>
      <c r="M158" s="2">
        <v>6.8199999999999997E-2</v>
      </c>
      <c r="N158" s="6">
        <v>11.935189281838269</v>
      </c>
      <c r="O158" s="2">
        <v>36</v>
      </c>
      <c r="P158" s="1">
        <v>36</v>
      </c>
      <c r="Q158" s="1">
        <v>1</v>
      </c>
      <c r="R158" s="1">
        <v>0.67017072841255465</v>
      </c>
      <c r="S158" s="1">
        <v>7.0244033679407319E-2</v>
      </c>
    </row>
    <row r="159" spans="1:19" x14ac:dyDescent="0.25">
      <c r="A159" s="6" t="s">
        <v>159</v>
      </c>
      <c r="B159" s="1" t="s">
        <v>17</v>
      </c>
      <c r="C159" s="5" t="s">
        <v>162</v>
      </c>
      <c r="D159" s="6" t="s">
        <v>420</v>
      </c>
      <c r="E159" s="6" t="s">
        <v>358</v>
      </c>
      <c r="F159" s="1" t="s">
        <v>3</v>
      </c>
      <c r="G159" s="6" t="s">
        <v>318</v>
      </c>
      <c r="H159" s="1">
        <v>25</v>
      </c>
      <c r="I159" s="2">
        <v>8.77</v>
      </c>
      <c r="J159" s="2">
        <v>4.41</v>
      </c>
      <c r="K159" s="6">
        <f t="shared" si="0"/>
        <v>5.5457325852058519</v>
      </c>
      <c r="L159" s="1">
        <v>1.9886621315192743</v>
      </c>
      <c r="M159" s="2">
        <v>7.7499999999999999E-2</v>
      </c>
      <c r="N159" s="6">
        <v>11.221291625489958</v>
      </c>
      <c r="O159" s="2">
        <v>37</v>
      </c>
      <c r="P159" s="1">
        <v>31</v>
      </c>
      <c r="Q159" s="1">
        <v>0.83783783783783783</v>
      </c>
      <c r="R159" s="1">
        <v>0.63847831340869976</v>
      </c>
      <c r="S159" s="1">
        <v>6.4553530122564651E-2</v>
      </c>
    </row>
    <row r="160" spans="1:19" x14ac:dyDescent="0.25">
      <c r="A160" s="6" t="s">
        <v>159</v>
      </c>
      <c r="B160" s="1" t="s">
        <v>4</v>
      </c>
      <c r="C160" s="5" t="s">
        <v>247</v>
      </c>
      <c r="D160" s="6" t="s">
        <v>414</v>
      </c>
      <c r="E160" s="6" t="s">
        <v>354</v>
      </c>
      <c r="F160" s="1" t="s">
        <v>86</v>
      </c>
      <c r="G160" s="6" t="s">
        <v>316</v>
      </c>
      <c r="H160" s="1">
        <v>29</v>
      </c>
      <c r="I160" s="2">
        <v>8.8000000000000007</v>
      </c>
      <c r="J160" s="2">
        <v>4.76</v>
      </c>
      <c r="K160" s="6">
        <f t="shared" si="0"/>
        <v>5.8420534468995848</v>
      </c>
      <c r="L160" s="1">
        <v>1.8487394957983196</v>
      </c>
      <c r="M160" s="2">
        <v>7.2499999999999995E-2</v>
      </c>
      <c r="N160" s="6">
        <v>10.396732525317722</v>
      </c>
      <c r="O160" s="2">
        <v>54</v>
      </c>
      <c r="P160" s="1">
        <v>48</v>
      </c>
      <c r="Q160" s="1">
        <v>0.88888888888888884</v>
      </c>
      <c r="R160" s="1">
        <v>0.62608643214579096</v>
      </c>
      <c r="S160" s="1">
        <v>3.7126942181167993E-2</v>
      </c>
    </row>
    <row r="161" spans="1:19" x14ac:dyDescent="0.25">
      <c r="A161" s="6" t="s">
        <v>159</v>
      </c>
      <c r="B161" s="1" t="s">
        <v>17</v>
      </c>
      <c r="C161" s="5" t="s">
        <v>248</v>
      </c>
      <c r="D161" s="6" t="s">
        <v>410</v>
      </c>
      <c r="E161" s="6" t="s">
        <v>378</v>
      </c>
      <c r="F161" s="1" t="s">
        <v>86</v>
      </c>
      <c r="G161" s="6" t="s">
        <v>316</v>
      </c>
      <c r="H161" s="1">
        <v>28</v>
      </c>
      <c r="I161" s="2">
        <v>10.17</v>
      </c>
      <c r="J161" s="2">
        <v>4.79</v>
      </c>
      <c r="K161" s="6">
        <f t="shared" si="0"/>
        <v>6.156454298733478</v>
      </c>
      <c r="L161" s="1">
        <v>2.1231732776617953</v>
      </c>
      <c r="M161" s="2">
        <v>9.1300000000000006E-2</v>
      </c>
      <c r="N161" s="6">
        <v>8.7061408759681704</v>
      </c>
      <c r="O161" s="2">
        <v>59</v>
      </c>
      <c r="P161" s="1">
        <v>57</v>
      </c>
      <c r="Q161" s="1">
        <v>0.96610169491525422</v>
      </c>
      <c r="R161" s="1">
        <v>0.63047157083800609</v>
      </c>
      <c r="S161" s="1">
        <v>3.5212349392581749E-2</v>
      </c>
    </row>
    <row r="162" spans="1:19" x14ac:dyDescent="0.25">
      <c r="A162" s="6" t="s">
        <v>159</v>
      </c>
      <c r="B162" s="1" t="s">
        <v>72</v>
      </c>
      <c r="C162" s="5" t="s">
        <v>249</v>
      </c>
      <c r="D162" s="6" t="s">
        <v>415</v>
      </c>
      <c r="E162" s="6" t="s">
        <v>382</v>
      </c>
      <c r="F162" s="1" t="s">
        <v>86</v>
      </c>
      <c r="G162" s="6" t="s">
        <v>316</v>
      </c>
      <c r="H162" s="1">
        <v>26</v>
      </c>
      <c r="I162" s="2">
        <v>7.89</v>
      </c>
      <c r="J162" s="2">
        <v>4.37</v>
      </c>
      <c r="K162" s="6">
        <f t="shared" si="0"/>
        <v>5.3212454567046859</v>
      </c>
      <c r="L162" s="1">
        <v>1.8054919908466818</v>
      </c>
      <c r="M162" s="2">
        <v>5.7599999999999998E-2</v>
      </c>
      <c r="N162" s="6">
        <v>11.237386915969442</v>
      </c>
      <c r="O162" s="2">
        <v>47</v>
      </c>
      <c r="P162" s="1">
        <v>46</v>
      </c>
      <c r="Q162" s="1">
        <v>0.97872340425531912</v>
      </c>
      <c r="R162" s="1">
        <v>0.61064077079418411</v>
      </c>
      <c r="S162" s="1">
        <v>6.7455970406103058E-2</v>
      </c>
    </row>
    <row r="163" spans="1:19" x14ac:dyDescent="0.25">
      <c r="A163" s="6" t="s">
        <v>159</v>
      </c>
      <c r="B163" s="1" t="s">
        <v>79</v>
      </c>
      <c r="C163" s="5" t="s">
        <v>250</v>
      </c>
      <c r="D163" s="6" t="s">
        <v>412</v>
      </c>
      <c r="E163" s="6" t="s">
        <v>380</v>
      </c>
      <c r="F163" s="1" t="s">
        <v>86</v>
      </c>
      <c r="G163" s="6" t="s">
        <v>316</v>
      </c>
      <c r="H163" s="1">
        <v>26</v>
      </c>
      <c r="I163" s="2">
        <v>8.8000000000000007</v>
      </c>
      <c r="J163" s="2">
        <v>4.82</v>
      </c>
      <c r="K163" s="6">
        <f t="shared" si="0"/>
        <v>5.8910437702740062</v>
      </c>
      <c r="L163" s="1">
        <v>1.8257261410788381</v>
      </c>
      <c r="M163" s="2">
        <v>8.8999999999999996E-2</v>
      </c>
      <c r="N163" s="6">
        <v>12.762885444872792</v>
      </c>
      <c r="O163" s="2">
        <v>39</v>
      </c>
      <c r="P163" s="1">
        <v>38</v>
      </c>
      <c r="Q163" s="1">
        <v>0.97435897435897434</v>
      </c>
      <c r="R163" s="1">
        <v>0.66215037291739354</v>
      </c>
      <c r="S163" s="1">
        <v>5.7524030430680308E-2</v>
      </c>
    </row>
    <row r="164" spans="1:19" x14ac:dyDescent="0.25">
      <c r="A164" s="6" t="s">
        <v>159</v>
      </c>
      <c r="B164" s="1" t="s">
        <v>4</v>
      </c>
      <c r="C164" s="5" t="s">
        <v>251</v>
      </c>
      <c r="D164" s="6" t="s">
        <v>414</v>
      </c>
      <c r="E164" s="6" t="s">
        <v>354</v>
      </c>
      <c r="F164" s="1" t="s">
        <v>86</v>
      </c>
      <c r="G164" s="6" t="s">
        <v>316</v>
      </c>
      <c r="H164" s="1">
        <v>29</v>
      </c>
      <c r="I164" s="2">
        <v>9.2200000000000006</v>
      </c>
      <c r="J164" s="2">
        <v>4.9000000000000004</v>
      </c>
      <c r="K164" s="6">
        <f t="shared" si="0"/>
        <v>6.0493358103358918</v>
      </c>
      <c r="L164" s="1">
        <v>1.8816326530612244</v>
      </c>
      <c r="M164" s="2">
        <v>8.2699999999999996E-2</v>
      </c>
      <c r="N164" s="6">
        <v>10.398347146914753</v>
      </c>
      <c r="O164" s="2">
        <v>59</v>
      </c>
      <c r="P164" s="1">
        <v>56</v>
      </c>
      <c r="Q164" s="1">
        <v>0.94915254237288138</v>
      </c>
      <c r="R164" s="1">
        <v>0.68880976531658611</v>
      </c>
      <c r="S164" s="1">
        <v>5.1128510882488647E-2</v>
      </c>
    </row>
    <row r="165" spans="1:19" x14ac:dyDescent="0.25">
      <c r="A165" s="6" t="s">
        <v>159</v>
      </c>
      <c r="B165" s="1" t="s">
        <v>38</v>
      </c>
      <c r="C165" s="5" t="s">
        <v>252</v>
      </c>
      <c r="D165" s="6" t="s">
        <v>421</v>
      </c>
      <c r="E165" s="6" t="s">
        <v>384</v>
      </c>
      <c r="F165" s="1" t="s">
        <v>86</v>
      </c>
      <c r="G165" s="6" t="s">
        <v>316</v>
      </c>
      <c r="H165" s="1">
        <v>27</v>
      </c>
      <c r="I165" s="2">
        <v>7.89</v>
      </c>
      <c r="J165" s="2">
        <v>4.4000000000000004</v>
      </c>
      <c r="K165" s="6">
        <f t="shared" si="0"/>
        <v>5.3455712030544413</v>
      </c>
      <c r="L165" s="1">
        <v>1.793181818181818</v>
      </c>
      <c r="M165" s="2">
        <v>5.96E-2</v>
      </c>
      <c r="N165" s="6">
        <v>11.627573961662824</v>
      </c>
      <c r="O165" s="2">
        <v>52</v>
      </c>
      <c r="P165" s="1">
        <v>40</v>
      </c>
      <c r="Q165" s="1">
        <v>0.76923076923076927</v>
      </c>
      <c r="R165" s="1">
        <v>0.67922041902545893</v>
      </c>
      <c r="S165" s="1">
        <v>6.4064447218320289E-2</v>
      </c>
    </row>
    <row r="166" spans="1:19" x14ac:dyDescent="0.25">
      <c r="A166" s="6" t="s">
        <v>159</v>
      </c>
      <c r="B166" s="1" t="s">
        <v>65</v>
      </c>
      <c r="C166" s="5" t="s">
        <v>253</v>
      </c>
      <c r="D166" s="6" t="s">
        <v>422</v>
      </c>
      <c r="E166" s="6" t="s">
        <v>385</v>
      </c>
      <c r="F166" s="1" t="s">
        <v>86</v>
      </c>
      <c r="G166" s="6" t="s">
        <v>316</v>
      </c>
      <c r="H166" s="1">
        <v>27</v>
      </c>
      <c r="I166" s="2">
        <v>8.11</v>
      </c>
      <c r="J166" s="2">
        <v>4.4000000000000004</v>
      </c>
      <c r="K166" s="6">
        <f t="shared" si="0"/>
        <v>5.3948006653480185</v>
      </c>
      <c r="L166" s="1">
        <v>1.8431818181818178</v>
      </c>
      <c r="M166" s="2">
        <v>5.6500000000000002E-2</v>
      </c>
      <c r="N166" s="6">
        <v>10.20022235214484</v>
      </c>
      <c r="O166" s="2">
        <v>35</v>
      </c>
      <c r="P166" s="1">
        <v>33</v>
      </c>
      <c r="Q166" s="1">
        <v>0.94285714285714284</v>
      </c>
      <c r="R166" s="1">
        <v>0.66577049268491273</v>
      </c>
      <c r="S166" s="1">
        <v>5.7764632370675098E-2</v>
      </c>
    </row>
    <row r="167" spans="1:19" x14ac:dyDescent="0.25">
      <c r="A167" s="6" t="s">
        <v>159</v>
      </c>
      <c r="B167" s="1" t="s">
        <v>38</v>
      </c>
      <c r="C167" s="4" t="s">
        <v>163</v>
      </c>
      <c r="D167" s="6" t="s">
        <v>423</v>
      </c>
      <c r="E167" s="6" t="s">
        <v>359</v>
      </c>
      <c r="F167" s="1" t="s">
        <v>3</v>
      </c>
      <c r="G167" s="6" t="s">
        <v>318</v>
      </c>
      <c r="H167" s="1">
        <v>27</v>
      </c>
      <c r="I167" s="2">
        <v>8.4499999999999993</v>
      </c>
      <c r="J167" s="2">
        <v>4.3499999999999996</v>
      </c>
      <c r="K167" s="6">
        <f t="shared" si="0"/>
        <v>5.4276488299872172</v>
      </c>
      <c r="L167" s="1">
        <v>1.9425287356321839</v>
      </c>
      <c r="M167" s="2">
        <v>6.1600000000000002E-2</v>
      </c>
      <c r="N167" s="6">
        <v>9.9047790712141808</v>
      </c>
      <c r="O167" s="2">
        <v>42</v>
      </c>
      <c r="P167" s="1">
        <v>32</v>
      </c>
      <c r="Q167" s="1">
        <v>0.76190476190476186</v>
      </c>
      <c r="R167" s="1">
        <v>0.62932574497550475</v>
      </c>
      <c r="S167" s="1">
        <v>3.624854511963882E-2</v>
      </c>
    </row>
    <row r="168" spans="1:19" x14ac:dyDescent="0.25">
      <c r="A168" s="6" t="s">
        <v>159</v>
      </c>
      <c r="B168" s="1" t="s">
        <v>38</v>
      </c>
      <c r="C168" s="4" t="s">
        <v>164</v>
      </c>
      <c r="D168" s="6" t="s">
        <v>423</v>
      </c>
      <c r="E168" s="6" t="s">
        <v>359</v>
      </c>
      <c r="F168" s="1" t="s">
        <v>3</v>
      </c>
      <c r="G168" s="6" t="s">
        <v>318</v>
      </c>
      <c r="H168" s="1">
        <v>28</v>
      </c>
      <c r="I168" s="2">
        <v>8.61</v>
      </c>
      <c r="J168" s="2">
        <v>4.4400000000000004</v>
      </c>
      <c r="K168" s="6">
        <f t="shared" si="0"/>
        <v>5.5367684803632846</v>
      </c>
      <c r="L168" s="1">
        <v>1.9391891891891888</v>
      </c>
      <c r="M168" s="2">
        <v>7.4200000000000002E-2</v>
      </c>
      <c r="N168" s="6">
        <v>11.316054180949795</v>
      </c>
      <c r="O168" s="2">
        <v>35</v>
      </c>
      <c r="P168" s="1">
        <v>31</v>
      </c>
      <c r="Q168" s="1">
        <v>0.88571428571428568</v>
      </c>
      <c r="R168" s="1">
        <v>0.58790497586330059</v>
      </c>
      <c r="S168" s="1">
        <v>1.7982821238986355E-2</v>
      </c>
    </row>
    <row r="169" spans="1:19" x14ac:dyDescent="0.25">
      <c r="A169" s="6" t="s">
        <v>159</v>
      </c>
      <c r="B169" s="1" t="s">
        <v>4</v>
      </c>
      <c r="C169" s="4" t="s">
        <v>254</v>
      </c>
      <c r="D169" s="6" t="s">
        <v>414</v>
      </c>
      <c r="E169" s="6" t="s">
        <v>354</v>
      </c>
      <c r="F169" s="1" t="s">
        <v>86</v>
      </c>
      <c r="G169" s="6" t="s">
        <v>316</v>
      </c>
      <c r="H169" s="1">
        <v>31</v>
      </c>
      <c r="I169" s="2">
        <v>9.4600000000000009</v>
      </c>
      <c r="J169" s="2">
        <v>4.88</v>
      </c>
      <c r="K169" s="6">
        <f t="shared" si="0"/>
        <v>6.0847619665051527</v>
      </c>
      <c r="L169" s="1">
        <v>1.9385245901639347</v>
      </c>
      <c r="M169" s="2">
        <v>8.0399999999999999E-2</v>
      </c>
      <c r="N169" s="6">
        <v>9.4024935483061842</v>
      </c>
      <c r="O169" s="2">
        <v>52</v>
      </c>
      <c r="P169" s="1">
        <v>45</v>
      </c>
      <c r="Q169" s="1">
        <v>0.86538461538461542</v>
      </c>
      <c r="R169" s="1">
        <v>0.68841599166700085</v>
      </c>
      <c r="S169" s="1">
        <v>3.3112677460859337E-2</v>
      </c>
    </row>
    <row r="170" spans="1:19" x14ac:dyDescent="0.25">
      <c r="A170" s="6" t="s">
        <v>159</v>
      </c>
      <c r="B170" s="1" t="s">
        <v>17</v>
      </c>
      <c r="C170" s="4" t="s">
        <v>255</v>
      </c>
      <c r="D170" s="6" t="s">
        <v>410</v>
      </c>
      <c r="E170" s="6" t="s">
        <v>378</v>
      </c>
      <c r="F170" s="1" t="s">
        <v>86</v>
      </c>
      <c r="G170" s="6" t="s">
        <v>316</v>
      </c>
      <c r="H170" s="1">
        <v>30</v>
      </c>
      <c r="I170" s="2">
        <v>10.73</v>
      </c>
      <c r="J170" s="2">
        <v>5.24</v>
      </c>
      <c r="K170" s="6">
        <f t="shared" si="0"/>
        <v>6.6540710218916166</v>
      </c>
      <c r="L170" s="1">
        <v>2.0477099236641223</v>
      </c>
      <c r="M170" s="2">
        <v>1.0840000000000001E-2</v>
      </c>
      <c r="N170" s="6">
        <v>0.88866498037003927</v>
      </c>
      <c r="O170" s="2">
        <v>89</v>
      </c>
      <c r="P170" s="1">
        <v>52</v>
      </c>
      <c r="Q170" s="1">
        <v>0.5842696629213483</v>
      </c>
      <c r="R170" s="1">
        <v>0.6387179588955858</v>
      </c>
      <c r="S170" s="1">
        <v>3.4082198228064492E-2</v>
      </c>
    </row>
    <row r="171" spans="1:19" x14ac:dyDescent="0.25">
      <c r="A171" s="6" t="s">
        <v>159</v>
      </c>
      <c r="B171" s="1" t="s">
        <v>24</v>
      </c>
      <c r="C171" s="4" t="s">
        <v>256</v>
      </c>
      <c r="D171" s="6" t="s">
        <v>413</v>
      </c>
      <c r="E171" s="6" t="s">
        <v>381</v>
      </c>
      <c r="F171" s="1" t="s">
        <v>86</v>
      </c>
      <c r="G171" s="6" t="s">
        <v>316</v>
      </c>
      <c r="H171" s="1">
        <v>30</v>
      </c>
      <c r="I171" s="2">
        <v>10.25</v>
      </c>
      <c r="J171" s="2">
        <v>5.46</v>
      </c>
      <c r="K171" s="6">
        <f t="shared" si="0"/>
        <v>6.7354980840392225</v>
      </c>
      <c r="L171" s="1">
        <v>1.8772893772893773</v>
      </c>
      <c r="M171" s="2">
        <v>1.1599999999999999E-2</v>
      </c>
      <c r="N171" s="6">
        <v>1.0819736613992244</v>
      </c>
      <c r="O171" s="2">
        <v>124</v>
      </c>
      <c r="P171" s="1">
        <v>106</v>
      </c>
      <c r="Q171" s="1">
        <v>0.85483870967741937</v>
      </c>
      <c r="R171" s="1">
        <v>0.6261370716897261</v>
      </c>
      <c r="S171" s="1">
        <v>4.4390861944196287E-2</v>
      </c>
    </row>
    <row r="172" spans="1:19" x14ac:dyDescent="0.25">
      <c r="A172" s="6" t="s">
        <v>159</v>
      </c>
      <c r="B172" s="1" t="s">
        <v>24</v>
      </c>
      <c r="C172" s="4" t="s">
        <v>257</v>
      </c>
      <c r="D172" s="6" t="s">
        <v>413</v>
      </c>
      <c r="E172" s="6" t="s">
        <v>381</v>
      </c>
      <c r="F172" s="1" t="s">
        <v>86</v>
      </c>
      <c r="G172" s="6" t="s">
        <v>316</v>
      </c>
      <c r="H172" s="1">
        <v>30</v>
      </c>
      <c r="I172" s="2">
        <v>10.47</v>
      </c>
      <c r="J172" s="2">
        <v>5.07</v>
      </c>
      <c r="K172" s="6">
        <f t="shared" si="0"/>
        <v>6.4563569560513878</v>
      </c>
      <c r="L172" s="1">
        <v>2.0650887573964498</v>
      </c>
      <c r="M172" s="2">
        <v>0.1095</v>
      </c>
      <c r="N172" s="6">
        <v>9.6197653100682157</v>
      </c>
      <c r="O172" s="2">
        <v>109</v>
      </c>
      <c r="P172" s="1">
        <v>99</v>
      </c>
      <c r="Q172" s="1">
        <v>0.90825688073394495</v>
      </c>
      <c r="R172" s="1">
        <v>0.6432479393599656</v>
      </c>
      <c r="S172" s="1">
        <v>3.0153153919955135E-2</v>
      </c>
    </row>
    <row r="173" spans="1:19" x14ac:dyDescent="0.25">
      <c r="A173" s="6" t="s">
        <v>159</v>
      </c>
      <c r="B173" s="1" t="s">
        <v>45</v>
      </c>
      <c r="C173" s="4" t="s">
        <v>258</v>
      </c>
      <c r="D173" s="6" t="s">
        <v>419</v>
      </c>
      <c r="E173" s="6" t="s">
        <v>383</v>
      </c>
      <c r="F173" s="1" t="s">
        <v>86</v>
      </c>
      <c r="G173" s="6" t="s">
        <v>316</v>
      </c>
      <c r="H173" s="1">
        <v>30</v>
      </c>
      <c r="I173" s="2">
        <v>10.48</v>
      </c>
      <c r="J173" s="2">
        <v>5.53</v>
      </c>
      <c r="K173" s="6">
        <f t="shared" si="0"/>
        <v>6.8433777760761441</v>
      </c>
      <c r="L173" s="1">
        <v>1.895117540687161</v>
      </c>
      <c r="M173" s="2">
        <v>0.12790000000000001</v>
      </c>
      <c r="N173" s="6">
        <v>11.206028622546315</v>
      </c>
      <c r="O173" s="2">
        <v>116</v>
      </c>
      <c r="P173" s="1">
        <v>96</v>
      </c>
      <c r="Q173" s="1">
        <v>0.82758620689655171</v>
      </c>
      <c r="R173" s="1">
        <v>0.60967934179786065</v>
      </c>
      <c r="S173" s="1">
        <v>4.3718199006162826E-2</v>
      </c>
    </row>
    <row r="174" spans="1:19" x14ac:dyDescent="0.25">
      <c r="A174" s="6" t="s">
        <v>159</v>
      </c>
      <c r="B174" s="1" t="s">
        <v>65</v>
      </c>
      <c r="C174" s="4" t="s">
        <v>259</v>
      </c>
      <c r="D174" s="6" t="s">
        <v>422</v>
      </c>
      <c r="E174" s="6" t="s">
        <v>385</v>
      </c>
      <c r="F174" s="1" t="s">
        <v>86</v>
      </c>
      <c r="G174" s="6" t="s">
        <v>316</v>
      </c>
      <c r="H174" s="1">
        <v>29</v>
      </c>
      <c r="I174" s="2">
        <v>8.81</v>
      </c>
      <c r="J174" s="2">
        <v>4.93</v>
      </c>
      <c r="K174" s="6">
        <f t="shared" si="0"/>
        <v>5.9825992976732909</v>
      </c>
      <c r="L174" s="1">
        <v>1.7870182555780936</v>
      </c>
      <c r="M174" s="2">
        <v>8.2699999999999996E-2</v>
      </c>
      <c r="N174" s="6">
        <v>11.821523443778048</v>
      </c>
      <c r="O174" s="2">
        <v>42</v>
      </c>
      <c r="P174" s="1">
        <v>40</v>
      </c>
      <c r="Q174" s="1">
        <v>0.95238095238095233</v>
      </c>
      <c r="R174" s="1">
        <v>0.64770517700632912</v>
      </c>
      <c r="S174" s="1">
        <v>5.0430585909611823E-2</v>
      </c>
    </row>
    <row r="175" spans="1:19" x14ac:dyDescent="0.25">
      <c r="A175" s="6" t="s">
        <v>159</v>
      </c>
      <c r="B175" s="1" t="s">
        <v>4</v>
      </c>
      <c r="C175" s="4" t="s">
        <v>260</v>
      </c>
      <c r="D175" s="6" t="s">
        <v>424</v>
      </c>
      <c r="E175" s="6" t="s">
        <v>360</v>
      </c>
      <c r="F175" s="1" t="s">
        <v>86</v>
      </c>
      <c r="G175" s="6" t="s">
        <v>316</v>
      </c>
      <c r="H175" s="1">
        <v>29</v>
      </c>
      <c r="I175" s="2">
        <v>8.57</v>
      </c>
      <c r="J175" s="2">
        <v>4.6900000000000004</v>
      </c>
      <c r="K175" s="6">
        <f t="shared" si="0"/>
        <v>5.7337950994435003</v>
      </c>
      <c r="L175" s="1">
        <v>1.8272921108742004</v>
      </c>
      <c r="M175" s="2">
        <v>6.9599999999999995E-2</v>
      </c>
      <c r="N175" s="6">
        <v>10.754824349812038</v>
      </c>
      <c r="O175" s="2">
        <v>39</v>
      </c>
      <c r="P175" s="1">
        <v>32</v>
      </c>
      <c r="Q175" s="1">
        <v>0.82051282051282048</v>
      </c>
      <c r="R175" s="1">
        <v>0.61872381911076657</v>
      </c>
      <c r="S175" s="1">
        <v>4.9164730320258053E-2</v>
      </c>
    </row>
    <row r="176" spans="1:19" x14ac:dyDescent="0.25">
      <c r="A176" s="6" t="s">
        <v>159</v>
      </c>
      <c r="B176" s="1" t="s">
        <v>4</v>
      </c>
      <c r="C176" s="4" t="s">
        <v>261</v>
      </c>
      <c r="D176" s="6" t="s">
        <v>424</v>
      </c>
      <c r="E176" s="6" t="s">
        <v>360</v>
      </c>
      <c r="F176" s="1" t="s">
        <v>86</v>
      </c>
      <c r="G176" s="6" t="s">
        <v>316</v>
      </c>
      <c r="H176" s="1">
        <v>29</v>
      </c>
      <c r="I176" s="2">
        <v>9.08</v>
      </c>
      <c r="J176" s="2">
        <v>4.68</v>
      </c>
      <c r="K176" s="6">
        <f t="shared" si="0"/>
        <v>5.8370379674879826</v>
      </c>
      <c r="L176" s="1">
        <v>1.9401709401709404</v>
      </c>
      <c r="M176" s="2">
        <v>8.5099999999999995E-2</v>
      </c>
      <c r="N176" s="6">
        <v>11.171910999469286</v>
      </c>
      <c r="O176" s="2">
        <v>41</v>
      </c>
      <c r="P176" s="1">
        <v>40</v>
      </c>
      <c r="Q176" s="1">
        <v>0.97560975609756095</v>
      </c>
      <c r="R176" s="1">
        <v>0.64454114131689555</v>
      </c>
      <c r="S176" s="1">
        <v>3.9165503547962027E-2</v>
      </c>
    </row>
    <row r="177" spans="1:19" x14ac:dyDescent="0.25">
      <c r="A177" s="6" t="s">
        <v>159</v>
      </c>
      <c r="B177" s="1" t="s">
        <v>58</v>
      </c>
      <c r="C177" s="4" t="s">
        <v>262</v>
      </c>
      <c r="D177" s="6" t="s">
        <v>411</v>
      </c>
      <c r="E177" s="6" t="s">
        <v>379</v>
      </c>
      <c r="F177" s="1" t="s">
        <v>86</v>
      </c>
      <c r="G177" s="6" t="s">
        <v>316</v>
      </c>
      <c r="H177" s="1">
        <v>28</v>
      </c>
      <c r="I177" s="2">
        <v>8.49</v>
      </c>
      <c r="J177" s="2">
        <v>4.54</v>
      </c>
      <c r="K177" s="6">
        <f t="shared" si="0"/>
        <v>5.5933646324406689</v>
      </c>
      <c r="L177" s="1">
        <v>1.8700440528634361</v>
      </c>
      <c r="M177" s="2">
        <v>7.4800000000000005E-2</v>
      </c>
      <c r="N177" s="6">
        <v>11.868119521917691</v>
      </c>
      <c r="O177" s="2">
        <v>31</v>
      </c>
      <c r="P177" s="1">
        <v>28</v>
      </c>
      <c r="Q177" s="1">
        <v>0.90322580645161288</v>
      </c>
      <c r="R177" s="1">
        <v>0.5799628415750907</v>
      </c>
      <c r="S177" s="1">
        <v>6.9754189059178184E-2</v>
      </c>
    </row>
    <row r="178" spans="1:19" x14ac:dyDescent="0.25">
      <c r="A178" s="6" t="s">
        <v>159</v>
      </c>
      <c r="B178" s="1" t="s">
        <v>58</v>
      </c>
      <c r="C178" s="4" t="s">
        <v>263</v>
      </c>
      <c r="D178" s="6" t="s">
        <v>425</v>
      </c>
      <c r="E178" s="6" t="s">
        <v>386</v>
      </c>
      <c r="F178" s="1" t="s">
        <v>86</v>
      </c>
      <c r="G178" s="6" t="s">
        <v>316</v>
      </c>
      <c r="H178" s="1">
        <v>28</v>
      </c>
      <c r="I178" s="2">
        <v>8.49</v>
      </c>
      <c r="J178" s="2">
        <v>4.3099999999999996</v>
      </c>
      <c r="K178" s="6">
        <f t="shared" si="0"/>
        <v>5.4028230437856291</v>
      </c>
      <c r="L178" s="1">
        <v>1.9698375870069609</v>
      </c>
      <c r="M178" s="2">
        <v>6.2199999999999998E-2</v>
      </c>
      <c r="N178" s="6">
        <v>9.868944308332626</v>
      </c>
      <c r="O178" s="2">
        <v>42</v>
      </c>
      <c r="P178" s="1">
        <v>39</v>
      </c>
      <c r="Q178" s="1">
        <v>0.9285714285714286</v>
      </c>
      <c r="R178" s="1">
        <v>0.58415114987089645</v>
      </c>
      <c r="S178" s="1">
        <v>5.0460215357357993E-2</v>
      </c>
    </row>
    <row r="179" spans="1:19" x14ac:dyDescent="0.25">
      <c r="A179" s="6" t="s">
        <v>159</v>
      </c>
      <c r="B179" s="1" t="s">
        <v>58</v>
      </c>
      <c r="C179" s="4" t="s">
        <v>264</v>
      </c>
      <c r="D179" s="6" t="s">
        <v>425</v>
      </c>
      <c r="E179" s="6" t="s">
        <v>386</v>
      </c>
      <c r="F179" s="1" t="s">
        <v>86</v>
      </c>
      <c r="G179" s="6" t="s">
        <v>316</v>
      </c>
      <c r="H179" s="1">
        <v>28</v>
      </c>
      <c r="I179" s="2">
        <v>8.2100000000000009</v>
      </c>
      <c r="J179" s="2">
        <v>4.17</v>
      </c>
      <c r="K179" s="6">
        <f t="shared" si="0"/>
        <v>5.2264294098239423</v>
      </c>
      <c r="L179" s="1">
        <v>1.9688249400479618</v>
      </c>
      <c r="M179" s="2">
        <v>5.7599999999999998E-2</v>
      </c>
      <c r="N179" s="6">
        <v>10.045574535329946</v>
      </c>
      <c r="O179" s="2">
        <v>64</v>
      </c>
      <c r="P179" s="1">
        <v>57</v>
      </c>
      <c r="Q179" s="1">
        <v>0.890625</v>
      </c>
      <c r="R179" s="1">
        <v>0.57478403102466147</v>
      </c>
      <c r="S179" s="1">
        <v>5.0825643105195419E-2</v>
      </c>
    </row>
    <row r="180" spans="1:19" x14ac:dyDescent="0.25">
      <c r="A180" s="6" t="s">
        <v>159</v>
      </c>
      <c r="B180" s="1" t="s">
        <v>72</v>
      </c>
      <c r="C180" s="4" t="s">
        <v>265</v>
      </c>
      <c r="D180" s="6" t="s">
        <v>415</v>
      </c>
      <c r="E180" s="6" t="s">
        <v>382</v>
      </c>
      <c r="F180" s="1" t="s">
        <v>86</v>
      </c>
      <c r="G180" s="6" t="s">
        <v>316</v>
      </c>
      <c r="H180" s="1">
        <v>28</v>
      </c>
      <c r="I180" s="2">
        <v>8.82</v>
      </c>
      <c r="J180" s="2">
        <v>4.71</v>
      </c>
      <c r="K180" s="6">
        <f t="shared" si="0"/>
        <v>5.8054621750083522</v>
      </c>
      <c r="L180" s="1">
        <v>1.8726114649681529</v>
      </c>
      <c r="M180" s="2">
        <v>7.7499999999999999E-2</v>
      </c>
      <c r="N180" s="6">
        <v>11.042827610074593</v>
      </c>
      <c r="O180" s="2">
        <v>62</v>
      </c>
      <c r="P180" s="1">
        <v>54</v>
      </c>
      <c r="Q180" s="1">
        <v>0.87096774193548387</v>
      </c>
      <c r="R180" s="1">
        <v>0.59622357255280034</v>
      </c>
      <c r="S180" s="1">
        <v>3.428818256237523E-2</v>
      </c>
    </row>
    <row r="181" spans="1:19" x14ac:dyDescent="0.25">
      <c r="A181" s="6" t="s">
        <v>159</v>
      </c>
      <c r="B181" s="1" t="s">
        <v>72</v>
      </c>
      <c r="C181" s="4" t="s">
        <v>266</v>
      </c>
      <c r="D181" s="6" t="s">
        <v>426</v>
      </c>
      <c r="E181" s="6" t="s">
        <v>387</v>
      </c>
      <c r="F181" s="1" t="s">
        <v>86</v>
      </c>
      <c r="G181" s="6" t="s">
        <v>316</v>
      </c>
      <c r="H181" s="1">
        <v>28</v>
      </c>
      <c r="I181" s="2">
        <v>10.15</v>
      </c>
      <c r="J181" s="2">
        <v>5.49</v>
      </c>
      <c r="K181" s="6">
        <f t="shared" si="0"/>
        <v>6.738091596045841</v>
      </c>
      <c r="L181" s="1">
        <v>1.848816029143898</v>
      </c>
      <c r="M181" s="2">
        <v>0.11310000000000001</v>
      </c>
      <c r="N181" s="6">
        <v>10.8449702697401</v>
      </c>
      <c r="O181" s="2">
        <v>89</v>
      </c>
      <c r="P181" s="1">
        <v>63</v>
      </c>
      <c r="Q181" s="1">
        <v>0.7078651685393258</v>
      </c>
      <c r="R181" s="1">
        <v>0.56329391217961455</v>
      </c>
      <c r="S181" s="1">
        <v>6.0401218046787865E-2</v>
      </c>
    </row>
    <row r="182" spans="1:19" x14ac:dyDescent="0.25">
      <c r="A182" s="6" t="s">
        <v>159</v>
      </c>
      <c r="B182" s="1" t="s">
        <v>72</v>
      </c>
      <c r="C182" s="4" t="s">
        <v>267</v>
      </c>
      <c r="D182" s="6" t="s">
        <v>426</v>
      </c>
      <c r="E182" s="6" t="s">
        <v>387</v>
      </c>
      <c r="F182" s="1" t="s">
        <v>86</v>
      </c>
      <c r="G182" s="6" t="s">
        <v>316</v>
      </c>
      <c r="H182" s="1">
        <v>28</v>
      </c>
      <c r="I182" s="2">
        <v>9.02</v>
      </c>
      <c r="J182" s="2">
        <v>4.6900000000000004</v>
      </c>
      <c r="K182" s="6">
        <f t="shared" si="0"/>
        <v>5.832446193978658</v>
      </c>
      <c r="L182" s="1">
        <v>1.9232409381663111</v>
      </c>
      <c r="M182" s="2">
        <v>8.1000000000000003E-2</v>
      </c>
      <c r="N182" s="6">
        <v>10.834343059661359</v>
      </c>
      <c r="O182" s="2">
        <v>87</v>
      </c>
      <c r="P182" s="1">
        <v>63</v>
      </c>
      <c r="Q182" s="1">
        <v>0.72413793103448276</v>
      </c>
      <c r="R182" s="1">
        <v>0.55063787709287193</v>
      </c>
      <c r="S182" s="1">
        <v>0.10304178215081947</v>
      </c>
    </row>
    <row r="183" spans="1:19" x14ac:dyDescent="0.25">
      <c r="A183" s="6" t="s">
        <v>159</v>
      </c>
      <c r="B183" s="1" t="s">
        <v>17</v>
      </c>
      <c r="C183" s="4" t="s">
        <v>165</v>
      </c>
      <c r="D183" s="6" t="s">
        <v>427</v>
      </c>
      <c r="E183" s="6" t="s">
        <v>361</v>
      </c>
      <c r="F183" s="1" t="s">
        <v>3</v>
      </c>
      <c r="G183" s="6" t="s">
        <v>318</v>
      </c>
      <c r="H183" s="1">
        <v>29</v>
      </c>
      <c r="I183" s="2">
        <v>10.18</v>
      </c>
      <c r="J183" s="2">
        <v>5.26</v>
      </c>
      <c r="K183" s="6">
        <f t="shared" si="0"/>
        <v>6.5550059278522328</v>
      </c>
      <c r="L183" s="1">
        <v>1.935361216730038</v>
      </c>
      <c r="M183" s="2">
        <v>0.11020000000000001</v>
      </c>
      <c r="N183" s="6">
        <v>10.479314166282775</v>
      </c>
      <c r="O183" s="2">
        <v>61</v>
      </c>
      <c r="P183" s="1">
        <v>49</v>
      </c>
      <c r="Q183" s="1">
        <v>0.80327868852459017</v>
      </c>
      <c r="R183" s="1">
        <v>0.64827275978326548</v>
      </c>
      <c r="S183" s="1">
        <v>4.8457808777541585E-2</v>
      </c>
    </row>
    <row r="184" spans="1:19" x14ac:dyDescent="0.25">
      <c r="A184" s="6" t="s">
        <v>159</v>
      </c>
      <c r="B184" s="1" t="s">
        <v>17</v>
      </c>
      <c r="C184" s="4" t="s">
        <v>166</v>
      </c>
      <c r="D184" s="6" t="s">
        <v>427</v>
      </c>
      <c r="E184" s="6" t="s">
        <v>361</v>
      </c>
      <c r="F184" s="1" t="s">
        <v>3</v>
      </c>
      <c r="G184" s="6" t="s">
        <v>318</v>
      </c>
      <c r="H184" s="1">
        <v>29</v>
      </c>
      <c r="I184" s="2">
        <v>11.45</v>
      </c>
      <c r="J184" s="2">
        <v>5.67</v>
      </c>
      <c r="K184" s="6">
        <f t="shared" si="0"/>
        <v>7.1667766187084991</v>
      </c>
      <c r="L184" s="1">
        <v>2.0194003527336859</v>
      </c>
      <c r="M184" s="2">
        <v>0.1338</v>
      </c>
      <c r="N184" s="6">
        <v>9.1332351835596786</v>
      </c>
      <c r="O184" s="2">
        <v>110</v>
      </c>
      <c r="P184" s="1">
        <v>88</v>
      </c>
      <c r="Q184" s="1">
        <v>0.8</v>
      </c>
      <c r="R184" s="1">
        <v>0.63730122175582671</v>
      </c>
      <c r="S184" s="1">
        <v>5.1374902049232937E-2</v>
      </c>
    </row>
    <row r="185" spans="1:19" x14ac:dyDescent="0.25">
      <c r="A185" s="6" t="s">
        <v>159</v>
      </c>
      <c r="B185" s="1" t="s">
        <v>31</v>
      </c>
      <c r="C185" s="4" t="s">
        <v>167</v>
      </c>
      <c r="D185" s="6" t="s">
        <v>428</v>
      </c>
      <c r="E185" s="6" t="s">
        <v>362</v>
      </c>
      <c r="F185" s="1" t="s">
        <v>3</v>
      </c>
      <c r="G185" s="6" t="s">
        <v>318</v>
      </c>
      <c r="H185" s="1">
        <v>29</v>
      </c>
      <c r="I185" s="2">
        <v>9.3699999999999992</v>
      </c>
      <c r="J185" s="2">
        <v>5.27</v>
      </c>
      <c r="K185" s="6">
        <f t="shared" si="0"/>
        <v>6.3844027173673696</v>
      </c>
      <c r="L185" s="1">
        <v>1.7779886148007591</v>
      </c>
      <c r="M185" s="2">
        <v>9.8000000000000004E-2</v>
      </c>
      <c r="N185" s="6">
        <v>11.773902345527144</v>
      </c>
      <c r="O185" s="2">
        <v>46</v>
      </c>
      <c r="P185" s="1">
        <v>44</v>
      </c>
      <c r="Q185" s="1">
        <v>0.95652173913043481</v>
      </c>
      <c r="R185" s="1">
        <v>0.64851596030197045</v>
      </c>
      <c r="S185" s="1">
        <v>7.6001835456719624E-2</v>
      </c>
    </row>
    <row r="186" spans="1:19" x14ac:dyDescent="0.25">
      <c r="A186" s="6" t="s">
        <v>159</v>
      </c>
      <c r="B186" s="1" t="s">
        <v>65</v>
      </c>
      <c r="C186" s="4" t="s">
        <v>168</v>
      </c>
      <c r="D186" s="6" t="s">
        <v>429</v>
      </c>
      <c r="E186" s="6" t="s">
        <v>363</v>
      </c>
      <c r="F186" s="1" t="s">
        <v>3</v>
      </c>
      <c r="G186" s="6" t="s">
        <v>318</v>
      </c>
      <c r="H186" s="1">
        <v>28</v>
      </c>
      <c r="I186" s="2">
        <v>9.15</v>
      </c>
      <c r="J186" s="2">
        <v>4.6100000000000003</v>
      </c>
      <c r="K186" s="6">
        <f t="shared" si="0"/>
        <v>5.7934996039942135</v>
      </c>
      <c r="L186" s="1">
        <v>1.9848156182212582</v>
      </c>
      <c r="M186" s="2">
        <v>7.6999999999999999E-2</v>
      </c>
      <c r="N186" s="6">
        <v>9.8919802343508554</v>
      </c>
      <c r="O186" s="2">
        <v>10</v>
      </c>
      <c r="P186" s="1">
        <v>10</v>
      </c>
      <c r="Q186" s="1">
        <v>1</v>
      </c>
      <c r="R186" s="1">
        <v>0.59505663059395508</v>
      </c>
      <c r="S186" s="1">
        <v>2.2437712693316798E-2</v>
      </c>
    </row>
    <row r="187" spans="1:19" x14ac:dyDescent="0.25">
      <c r="A187" s="6" t="s">
        <v>159</v>
      </c>
      <c r="B187" s="1" t="s">
        <v>72</v>
      </c>
      <c r="C187" s="4" t="s">
        <v>169</v>
      </c>
      <c r="D187" s="6" t="s">
        <v>430</v>
      </c>
      <c r="E187" s="6" t="s">
        <v>364</v>
      </c>
      <c r="F187" s="1" t="s">
        <v>3</v>
      </c>
      <c r="G187" s="6" t="s">
        <v>318</v>
      </c>
      <c r="H187" s="1">
        <v>29</v>
      </c>
      <c r="I187" s="2">
        <v>8.32</v>
      </c>
      <c r="J187" s="2">
        <v>4.5</v>
      </c>
      <c r="K187" s="6">
        <f t="shared" si="0"/>
        <v>5.5230984495095319</v>
      </c>
      <c r="L187" s="1">
        <v>1.848888888888889</v>
      </c>
      <c r="M187" s="2">
        <v>6.3299999999999995E-2</v>
      </c>
      <c r="N187" s="6">
        <v>10.633002840084817</v>
      </c>
      <c r="O187" s="2">
        <v>32</v>
      </c>
      <c r="P187" s="1">
        <v>29</v>
      </c>
      <c r="Q187" s="1">
        <v>0.90625</v>
      </c>
      <c r="R187" s="1">
        <v>0.64057383788620192</v>
      </c>
      <c r="S187" s="1">
        <v>2.5984639904426735E-2</v>
      </c>
    </row>
    <row r="188" spans="1:19" x14ac:dyDescent="0.25">
      <c r="A188" s="6" t="s">
        <v>159</v>
      </c>
      <c r="B188" s="1" t="s">
        <v>17</v>
      </c>
      <c r="C188" s="4" t="s">
        <v>170</v>
      </c>
      <c r="D188" s="6" t="s">
        <v>420</v>
      </c>
      <c r="E188" s="6" t="s">
        <v>358</v>
      </c>
      <c r="F188" s="1" t="s">
        <v>3</v>
      </c>
      <c r="G188" s="6" t="s">
        <v>318</v>
      </c>
      <c r="H188" s="1">
        <v>29</v>
      </c>
      <c r="I188" s="2">
        <v>9.23</v>
      </c>
      <c r="J188" s="2">
        <v>4.97</v>
      </c>
      <c r="K188" s="6">
        <f t="shared" si="0"/>
        <v>6.1090192387556694</v>
      </c>
      <c r="L188" s="1">
        <v>1.8571428571428574</v>
      </c>
      <c r="M188" s="2">
        <v>8.3900000000000002E-2</v>
      </c>
      <c r="N188" s="6">
        <v>10.517031239457205</v>
      </c>
      <c r="O188" s="2">
        <v>30</v>
      </c>
      <c r="P188" s="1">
        <v>30</v>
      </c>
      <c r="Q188" s="1">
        <v>1</v>
      </c>
      <c r="R188" s="1">
        <v>0.71198899540468197</v>
      </c>
      <c r="S188" s="1">
        <v>6.438920143408762E-2</v>
      </c>
    </row>
    <row r="189" spans="1:19" x14ac:dyDescent="0.25">
      <c r="A189" s="6" t="s">
        <v>159</v>
      </c>
      <c r="B189" s="1" t="s">
        <v>72</v>
      </c>
      <c r="C189" s="4" t="s">
        <v>171</v>
      </c>
      <c r="D189" s="6" t="s">
        <v>430</v>
      </c>
      <c r="E189" s="6" t="s">
        <v>364</v>
      </c>
      <c r="F189" s="1" t="s">
        <v>3</v>
      </c>
      <c r="G189" s="6" t="s">
        <v>318</v>
      </c>
      <c r="H189" s="1">
        <v>29</v>
      </c>
      <c r="I189" s="2">
        <v>8.83</v>
      </c>
      <c r="J189" s="2">
        <v>5.03</v>
      </c>
      <c r="K189" s="6">
        <f t="shared" si="0"/>
        <v>6.0678135097230328</v>
      </c>
      <c r="L189" s="1">
        <v>1.7554671968190854</v>
      </c>
      <c r="M189" s="2">
        <v>8.5900000000000004E-2</v>
      </c>
      <c r="N189" s="6">
        <v>12.200678403318861</v>
      </c>
      <c r="O189" s="2">
        <v>45</v>
      </c>
      <c r="P189" s="1">
        <v>40</v>
      </c>
      <c r="Q189" s="1">
        <v>0.88888888888888884</v>
      </c>
      <c r="R189" s="1">
        <v>0.62523233291615354</v>
      </c>
      <c r="S189" s="1">
        <v>5.1687525963817774E-2</v>
      </c>
    </row>
    <row r="190" spans="1:19" x14ac:dyDescent="0.25">
      <c r="A190" s="6" t="s">
        <v>159</v>
      </c>
      <c r="B190" s="1" t="s">
        <v>58</v>
      </c>
      <c r="C190" s="4" t="s">
        <v>268</v>
      </c>
      <c r="D190" s="6" t="s">
        <v>425</v>
      </c>
      <c r="E190" s="6" t="s">
        <v>386</v>
      </c>
      <c r="F190" s="1" t="s">
        <v>86</v>
      </c>
      <c r="G190" s="6" t="s">
        <v>316</v>
      </c>
      <c r="H190" s="1">
        <v>29</v>
      </c>
      <c r="I190" s="2">
        <v>7.94</v>
      </c>
      <c r="J190" s="2">
        <v>40.6</v>
      </c>
      <c r="K190" s="6">
        <f t="shared" si="0"/>
        <v>23.56627040255615</v>
      </c>
      <c r="L190" s="1">
        <v>0.19556650246305418</v>
      </c>
      <c r="M190" s="2">
        <v>5.16E-2</v>
      </c>
      <c r="N190" s="6">
        <v>9.8890798759345646</v>
      </c>
      <c r="O190" s="2">
        <v>41</v>
      </c>
      <c r="P190" s="1">
        <v>40</v>
      </c>
      <c r="Q190" s="1">
        <v>0.97560975609756095</v>
      </c>
      <c r="R190" s="1">
        <v>0.58599216762783002</v>
      </c>
      <c r="S190" s="1">
        <v>3.519153442809575E-2</v>
      </c>
    </row>
    <row r="191" spans="1:19" x14ac:dyDescent="0.25">
      <c r="A191" s="6" t="s">
        <v>159</v>
      </c>
      <c r="B191" s="1" t="s">
        <v>65</v>
      </c>
      <c r="C191" s="4" t="s">
        <v>269</v>
      </c>
      <c r="D191" s="6" t="s">
        <v>431</v>
      </c>
      <c r="E191" s="6" t="s">
        <v>388</v>
      </c>
      <c r="F191" s="1" t="s">
        <v>86</v>
      </c>
      <c r="G191" s="6" t="s">
        <v>316</v>
      </c>
      <c r="H191" s="1">
        <v>30</v>
      </c>
      <c r="I191" s="2">
        <v>8.9600000000000009</v>
      </c>
      <c r="J191" s="2">
        <v>4.92</v>
      </c>
      <c r="K191" s="6">
        <f t="shared" si="0"/>
        <v>6.008223390824817</v>
      </c>
      <c r="L191" s="1">
        <v>1.821138211382114</v>
      </c>
      <c r="M191" s="2">
        <v>7.8200000000000006E-2</v>
      </c>
      <c r="N191" s="6">
        <v>10.658550956347138</v>
      </c>
      <c r="O191" s="2" t="s">
        <v>181</v>
      </c>
      <c r="P191" s="1">
        <v>32</v>
      </c>
      <c r="Q191" s="1" t="s">
        <v>181</v>
      </c>
      <c r="R191" s="1" t="s">
        <v>181</v>
      </c>
      <c r="S191" s="1" t="s">
        <v>181</v>
      </c>
    </row>
    <row r="192" spans="1:19" x14ac:dyDescent="0.25">
      <c r="A192" s="6" t="s">
        <v>159</v>
      </c>
      <c r="B192" s="1" t="s">
        <v>17</v>
      </c>
      <c r="C192" s="4" t="s">
        <v>172</v>
      </c>
      <c r="D192" s="6" t="s">
        <v>427</v>
      </c>
      <c r="E192" s="6" t="s">
        <v>361</v>
      </c>
      <c r="F192" s="1" t="s">
        <v>3</v>
      </c>
      <c r="G192" s="6" t="s">
        <v>318</v>
      </c>
      <c r="H192" s="1">
        <v>30</v>
      </c>
      <c r="I192" s="2">
        <v>9.49</v>
      </c>
      <c r="J192" s="2">
        <v>4.8600000000000003</v>
      </c>
      <c r="K192" s="6">
        <f t="shared" si="0"/>
        <v>6.0745332974805493</v>
      </c>
      <c r="L192" s="1">
        <v>1.9526748971193415</v>
      </c>
      <c r="M192" s="2">
        <v>8.9599999999999999E-2</v>
      </c>
      <c r="N192" s="6">
        <v>10.385258011347705</v>
      </c>
      <c r="O192" s="2">
        <v>43</v>
      </c>
      <c r="P192" s="1">
        <v>39</v>
      </c>
      <c r="Q192" s="1">
        <v>0.90697674418604646</v>
      </c>
      <c r="R192" s="1">
        <v>0.69275371219479365</v>
      </c>
      <c r="S192" s="1">
        <v>4.5757545054795894E-2</v>
      </c>
    </row>
    <row r="193" spans="1:19" x14ac:dyDescent="0.25">
      <c r="A193" s="6" t="s">
        <v>159</v>
      </c>
      <c r="B193" s="1" t="s">
        <v>38</v>
      </c>
      <c r="C193" s="4" t="s">
        <v>270</v>
      </c>
      <c r="D193" s="6" t="s">
        <v>421</v>
      </c>
      <c r="E193" s="6" t="s">
        <v>384</v>
      </c>
      <c r="F193" s="1" t="s">
        <v>86</v>
      </c>
      <c r="G193" s="6" t="s">
        <v>316</v>
      </c>
      <c r="H193" s="1">
        <v>30</v>
      </c>
      <c r="I193" s="2">
        <v>8.8000000000000007</v>
      </c>
      <c r="J193" s="2">
        <v>5.07</v>
      </c>
      <c r="K193" s="6">
        <f t="shared" si="0"/>
        <v>6.0930236467580601</v>
      </c>
      <c r="L193" s="1">
        <v>1.7357001972386588</v>
      </c>
      <c r="M193" s="2">
        <v>8.7499999999999994E-2</v>
      </c>
      <c r="N193" s="6">
        <v>12.547780634004148</v>
      </c>
      <c r="O193" s="2">
        <v>46</v>
      </c>
      <c r="P193" s="1">
        <v>41</v>
      </c>
      <c r="Q193" s="1">
        <v>0.89130434782608692</v>
      </c>
      <c r="R193" s="1">
        <v>0.69644253428627823</v>
      </c>
      <c r="S193" s="1">
        <v>3.6061280456673575E-2</v>
      </c>
    </row>
    <row r="194" spans="1:19" x14ac:dyDescent="0.25">
      <c r="A194" s="6" t="s">
        <v>159</v>
      </c>
      <c r="B194" s="1" t="s">
        <v>65</v>
      </c>
      <c r="C194" s="4" t="s">
        <v>173</v>
      </c>
      <c r="D194" s="6" t="s">
        <v>429</v>
      </c>
      <c r="E194" s="6" t="s">
        <v>363</v>
      </c>
      <c r="F194" s="1" t="s">
        <v>3</v>
      </c>
      <c r="G194" s="6" t="s">
        <v>318</v>
      </c>
      <c r="H194" s="1">
        <v>30</v>
      </c>
      <c r="I194" s="2">
        <v>9.14</v>
      </c>
      <c r="J194" s="2">
        <v>4.88</v>
      </c>
      <c r="K194" s="6">
        <f t="shared" si="0"/>
        <v>6.0153644737591083</v>
      </c>
      <c r="L194" s="1">
        <v>1.8729508196721314</v>
      </c>
      <c r="M194" s="2">
        <v>8.4000000000000005E-2</v>
      </c>
      <c r="N194" s="6">
        <v>10.824578993514946</v>
      </c>
      <c r="O194" s="2">
        <v>51</v>
      </c>
      <c r="P194" s="1">
        <v>45</v>
      </c>
      <c r="Q194" s="1">
        <v>0.88235294117647056</v>
      </c>
      <c r="R194" s="1">
        <v>0.64707377359893647</v>
      </c>
      <c r="S194" s="1">
        <v>5.3989744487742353E-2</v>
      </c>
    </row>
    <row r="195" spans="1:19" x14ac:dyDescent="0.25">
      <c r="A195" s="6" t="s">
        <v>159</v>
      </c>
      <c r="B195" s="1" t="s">
        <v>17</v>
      </c>
      <c r="C195" s="4" t="s">
        <v>174</v>
      </c>
      <c r="D195" s="6" t="s">
        <v>420</v>
      </c>
      <c r="E195" s="6" t="s">
        <v>358</v>
      </c>
      <c r="F195" s="1" t="s">
        <v>3</v>
      </c>
      <c r="G195" s="6" t="s">
        <v>318</v>
      </c>
      <c r="H195" s="1">
        <v>30</v>
      </c>
      <c r="I195" s="2">
        <v>10.66</v>
      </c>
      <c r="J195" s="2">
        <v>5.54</v>
      </c>
      <c r="K195" s="6">
        <f t="shared" ref="K195:K258" si="1">(I195*J195^2)^(1/3)</f>
        <v>6.8906296948016044</v>
      </c>
      <c r="L195" s="1">
        <v>1.924187725631769</v>
      </c>
      <c r="M195" s="2">
        <v>0.12740000000000001</v>
      </c>
      <c r="N195" s="6">
        <v>10.638835916103318</v>
      </c>
      <c r="O195" s="2">
        <v>122</v>
      </c>
      <c r="P195" s="1">
        <v>122</v>
      </c>
      <c r="Q195" s="1">
        <v>1</v>
      </c>
      <c r="R195" s="1">
        <v>0.61648296351411724</v>
      </c>
      <c r="S195" s="1">
        <v>3.9168803705960126E-2</v>
      </c>
    </row>
    <row r="196" spans="1:19" x14ac:dyDescent="0.25">
      <c r="A196" s="6" t="s">
        <v>159</v>
      </c>
      <c r="B196" s="1" t="s">
        <v>31</v>
      </c>
      <c r="C196" s="4" t="s">
        <v>175</v>
      </c>
      <c r="D196" s="6" t="s">
        <v>417</v>
      </c>
      <c r="E196" s="6" t="s">
        <v>356</v>
      </c>
      <c r="F196" s="1" t="s">
        <v>3</v>
      </c>
      <c r="G196" s="6" t="s">
        <v>318</v>
      </c>
      <c r="H196" s="1">
        <v>32</v>
      </c>
      <c r="I196" s="2">
        <v>9.32</v>
      </c>
      <c r="J196" s="2">
        <v>5.31</v>
      </c>
      <c r="K196" s="6">
        <f t="shared" si="1"/>
        <v>6.4052337721607326</v>
      </c>
      <c r="L196" s="1">
        <v>1.7551789077212807</v>
      </c>
      <c r="M196" s="2">
        <v>0.1057</v>
      </c>
      <c r="N196" s="6">
        <v>12.892053956294211</v>
      </c>
      <c r="O196" s="2">
        <v>77</v>
      </c>
      <c r="P196" s="1">
        <v>59</v>
      </c>
      <c r="Q196" s="1">
        <v>0.76623376623376627</v>
      </c>
      <c r="R196" s="1">
        <v>0.65568768800140353</v>
      </c>
      <c r="S196" s="1">
        <v>3.3793678353517639E-2</v>
      </c>
    </row>
    <row r="197" spans="1:19" x14ac:dyDescent="0.25">
      <c r="A197" s="6" t="s">
        <v>159</v>
      </c>
      <c r="B197" s="1" t="s">
        <v>45</v>
      </c>
      <c r="C197" s="4" t="s">
        <v>176</v>
      </c>
      <c r="D197" s="6" t="s">
        <v>432</v>
      </c>
      <c r="E197" s="6" t="s">
        <v>365</v>
      </c>
      <c r="F197" s="1" t="s">
        <v>3</v>
      </c>
      <c r="G197" s="6" t="s">
        <v>318</v>
      </c>
      <c r="H197" s="1">
        <v>32</v>
      </c>
      <c r="I197" s="2">
        <v>9.91</v>
      </c>
      <c r="J197" s="2">
        <v>5.46</v>
      </c>
      <c r="K197" s="6">
        <f t="shared" si="1"/>
        <v>6.6601853152991222</v>
      </c>
      <c r="L197" s="1">
        <v>1.815018315018315</v>
      </c>
      <c r="M197" s="2">
        <v>0.12920000000000001</v>
      </c>
      <c r="N197" s="6">
        <v>13.253628954261366</v>
      </c>
      <c r="O197" s="2">
        <v>110</v>
      </c>
      <c r="P197" s="1">
        <v>97</v>
      </c>
      <c r="Q197" s="1">
        <v>0.88181818181818183</v>
      </c>
      <c r="R197" s="1">
        <v>0.66409539561432585</v>
      </c>
      <c r="S197" s="1">
        <v>6.872680726757141E-2</v>
      </c>
    </row>
    <row r="198" spans="1:19" x14ac:dyDescent="0.25">
      <c r="A198" s="6" t="s">
        <v>159</v>
      </c>
      <c r="B198" s="1" t="s">
        <v>45</v>
      </c>
      <c r="C198" s="4" t="s">
        <v>271</v>
      </c>
      <c r="D198" s="6" t="s">
        <v>409</v>
      </c>
      <c r="E198" s="6" t="s">
        <v>377</v>
      </c>
      <c r="F198" s="1" t="s">
        <v>86</v>
      </c>
      <c r="G198" s="6" t="s">
        <v>316</v>
      </c>
      <c r="H198" s="1">
        <v>31</v>
      </c>
      <c r="I198" s="2">
        <v>9.66</v>
      </c>
      <c r="J198" s="2">
        <v>5.45</v>
      </c>
      <c r="K198" s="6">
        <f t="shared" si="1"/>
        <v>6.595636463745028</v>
      </c>
      <c r="L198" s="1">
        <v>1.7724770642201835</v>
      </c>
      <c r="M198" s="2">
        <v>0.1182</v>
      </c>
      <c r="N198" s="6">
        <v>13.031127079785293</v>
      </c>
      <c r="O198" s="2">
        <v>130</v>
      </c>
      <c r="P198" s="1">
        <v>116</v>
      </c>
      <c r="Q198" s="1">
        <v>0.89230769230769236</v>
      </c>
      <c r="R198" s="1">
        <v>0.62888590593414462</v>
      </c>
      <c r="S198" s="1">
        <v>5.5944879498490994E-2</v>
      </c>
    </row>
    <row r="199" spans="1:19" x14ac:dyDescent="0.25">
      <c r="A199" s="6" t="s">
        <v>159</v>
      </c>
      <c r="B199" s="1" t="s">
        <v>72</v>
      </c>
      <c r="C199" s="4" t="s">
        <v>272</v>
      </c>
      <c r="D199" s="6" t="s">
        <v>426</v>
      </c>
      <c r="E199" s="6" t="s">
        <v>387</v>
      </c>
      <c r="F199" s="1" t="s">
        <v>86</v>
      </c>
      <c r="G199" s="6" t="s">
        <v>316</v>
      </c>
      <c r="H199" s="1">
        <v>30</v>
      </c>
      <c r="I199" s="2">
        <v>8.44</v>
      </c>
      <c r="J199" s="2">
        <v>5.29</v>
      </c>
      <c r="K199" s="6">
        <f t="shared" si="1"/>
        <v>6.1813679624143854</v>
      </c>
      <c r="L199" s="1">
        <v>1.5954631379962192</v>
      </c>
      <c r="M199" s="2">
        <v>0.1018</v>
      </c>
      <c r="N199" s="6">
        <v>16.423362488120361</v>
      </c>
      <c r="O199" s="2">
        <v>69</v>
      </c>
      <c r="P199" s="1">
        <v>64</v>
      </c>
      <c r="Q199" s="1">
        <v>0.92753623188405798</v>
      </c>
      <c r="R199" s="1">
        <v>0.642750868866795</v>
      </c>
      <c r="S199" s="1">
        <v>4.911607040645493E-2</v>
      </c>
    </row>
    <row r="200" spans="1:19" x14ac:dyDescent="0.25">
      <c r="A200" s="6" t="s">
        <v>159</v>
      </c>
      <c r="B200" s="1" t="s">
        <v>58</v>
      </c>
      <c r="C200" s="4" t="s">
        <v>273</v>
      </c>
      <c r="D200" s="6" t="s">
        <v>425</v>
      </c>
      <c r="E200" s="6" t="s">
        <v>386</v>
      </c>
      <c r="F200" s="1" t="s">
        <v>86</v>
      </c>
      <c r="G200" s="6" t="s">
        <v>316</v>
      </c>
      <c r="H200" s="1">
        <v>30</v>
      </c>
      <c r="I200" s="2">
        <v>7.9</v>
      </c>
      <c r="J200" s="2">
        <v>4.7300000000000004</v>
      </c>
      <c r="K200" s="6">
        <f t="shared" si="1"/>
        <v>5.6119844318846619</v>
      </c>
      <c r="L200" s="1">
        <v>1.6701902748414374</v>
      </c>
      <c r="M200" s="2">
        <v>8.2000000000000003E-2</v>
      </c>
      <c r="N200" s="6">
        <v>15.94062902772572</v>
      </c>
      <c r="O200" s="2">
        <v>148</v>
      </c>
      <c r="P200" s="1">
        <v>148</v>
      </c>
      <c r="Q200" s="1">
        <v>1</v>
      </c>
      <c r="R200" s="1">
        <v>0.60434670848703698</v>
      </c>
      <c r="S200" s="1">
        <v>6.0585376044452556E-2</v>
      </c>
    </row>
    <row r="201" spans="1:19" x14ac:dyDescent="0.25">
      <c r="A201" s="6" t="s">
        <v>159</v>
      </c>
      <c r="B201" s="1" t="s">
        <v>79</v>
      </c>
      <c r="C201" s="4" t="s">
        <v>274</v>
      </c>
      <c r="D201" s="6" t="s">
        <v>412</v>
      </c>
      <c r="E201" s="6" t="s">
        <v>380</v>
      </c>
      <c r="F201" s="1" t="s">
        <v>86</v>
      </c>
      <c r="G201" s="6" t="s">
        <v>316</v>
      </c>
      <c r="H201" s="1">
        <v>31</v>
      </c>
      <c r="I201" s="2">
        <v>10.24</v>
      </c>
      <c r="J201" s="2">
        <v>5.26</v>
      </c>
      <c r="K201" s="6">
        <f t="shared" si="1"/>
        <v>6.5678589135634544</v>
      </c>
      <c r="L201" s="1">
        <v>1.9467680608365021</v>
      </c>
      <c r="M201" s="2">
        <v>9.3899999999999997E-2</v>
      </c>
      <c r="N201" s="6">
        <v>8.7825314677670061</v>
      </c>
      <c r="O201" s="2">
        <v>85</v>
      </c>
      <c r="P201" s="1">
        <v>77</v>
      </c>
      <c r="Q201" s="1">
        <v>0.90588235294117647</v>
      </c>
      <c r="R201" s="1">
        <v>0.63821316589103538</v>
      </c>
      <c r="S201" s="1">
        <v>2.38885667744295E-2</v>
      </c>
    </row>
    <row r="202" spans="1:19" x14ac:dyDescent="0.25">
      <c r="A202" s="6" t="s">
        <v>159</v>
      </c>
      <c r="B202" s="1" t="s">
        <v>79</v>
      </c>
      <c r="C202" s="4" t="s">
        <v>275</v>
      </c>
      <c r="D202" s="6" t="s">
        <v>412</v>
      </c>
      <c r="E202" s="6" t="s">
        <v>380</v>
      </c>
      <c r="F202" s="1" t="s">
        <v>86</v>
      </c>
      <c r="G202" s="6" t="s">
        <v>316</v>
      </c>
      <c r="H202" s="1">
        <v>31</v>
      </c>
      <c r="I202" s="2">
        <v>10.98</v>
      </c>
      <c r="J202" s="2">
        <v>5.63</v>
      </c>
      <c r="K202" s="6">
        <f t="shared" si="1"/>
        <v>7.0340649903083241</v>
      </c>
      <c r="L202" s="1">
        <v>1.9502664298401422</v>
      </c>
      <c r="M202" s="2">
        <v>0.1331</v>
      </c>
      <c r="N202" s="6">
        <v>10.225379998448149</v>
      </c>
      <c r="O202" s="2">
        <v>178</v>
      </c>
      <c r="P202" s="1">
        <v>179</v>
      </c>
      <c r="Q202" s="1">
        <v>1</v>
      </c>
      <c r="R202" s="1">
        <v>0.61397511655335202</v>
      </c>
      <c r="S202" s="1">
        <v>5.5096805984282266E-2</v>
      </c>
    </row>
    <row r="203" spans="1:19" x14ac:dyDescent="0.25">
      <c r="A203" s="6" t="s">
        <v>159</v>
      </c>
      <c r="B203" s="1" t="s">
        <v>4</v>
      </c>
      <c r="C203" s="4" t="s">
        <v>276</v>
      </c>
      <c r="D203" s="6" t="s">
        <v>424</v>
      </c>
      <c r="E203" s="6" t="s">
        <v>360</v>
      </c>
      <c r="F203" s="1" t="s">
        <v>86</v>
      </c>
      <c r="G203" s="6" t="s">
        <v>316</v>
      </c>
      <c r="H203" s="1">
        <v>32</v>
      </c>
      <c r="I203" s="2">
        <v>9.27</v>
      </c>
      <c r="J203" s="2">
        <v>5.09</v>
      </c>
      <c r="K203" s="6">
        <f t="shared" si="1"/>
        <v>6.2159154660964591</v>
      </c>
      <c r="L203" s="1">
        <v>1.8212180746561886</v>
      </c>
      <c r="M203" s="2">
        <v>8.8400000000000006E-2</v>
      </c>
      <c r="N203" s="6">
        <v>10.946805827788465</v>
      </c>
      <c r="O203" s="2">
        <v>28</v>
      </c>
      <c r="P203" s="1">
        <v>26</v>
      </c>
      <c r="Q203" s="1">
        <v>0.9285714285714286</v>
      </c>
      <c r="R203" s="1">
        <v>0.73533718184091423</v>
      </c>
      <c r="S203" s="1">
        <v>6.6418345903185683E-2</v>
      </c>
    </row>
    <row r="204" spans="1:19" x14ac:dyDescent="0.25">
      <c r="A204" s="6" t="s">
        <v>159</v>
      </c>
      <c r="B204" s="1" t="s">
        <v>38</v>
      </c>
      <c r="C204" s="4" t="s">
        <v>277</v>
      </c>
      <c r="D204" s="6" t="s">
        <v>421</v>
      </c>
      <c r="E204" s="6" t="s">
        <v>384</v>
      </c>
      <c r="F204" s="1" t="s">
        <v>86</v>
      </c>
      <c r="G204" s="6" t="s">
        <v>316</v>
      </c>
      <c r="H204" s="1">
        <v>32</v>
      </c>
      <c r="I204" s="2">
        <v>8.0500000000000007</v>
      </c>
      <c r="J204" s="2">
        <v>3.97</v>
      </c>
      <c r="K204" s="6">
        <f t="shared" si="1"/>
        <v>5.0248792657641435</v>
      </c>
      <c r="L204" s="1">
        <v>2.0277078085642319</v>
      </c>
      <c r="M204" s="2">
        <v>4.7199999999999999E-2</v>
      </c>
      <c r="N204" s="6">
        <v>8.7015699552477752</v>
      </c>
      <c r="O204" s="2">
        <v>32</v>
      </c>
      <c r="P204" s="1">
        <v>28</v>
      </c>
      <c r="Q204" s="1">
        <v>0.875</v>
      </c>
      <c r="R204" s="1">
        <v>0.6675677555639874</v>
      </c>
      <c r="S204" s="1">
        <v>6.1432879164156191E-2</v>
      </c>
    </row>
    <row r="205" spans="1:19" x14ac:dyDescent="0.25">
      <c r="A205" s="6" t="s">
        <v>159</v>
      </c>
      <c r="B205" s="1" t="s">
        <v>58</v>
      </c>
      <c r="C205" s="4" t="s">
        <v>278</v>
      </c>
      <c r="D205" s="6" t="s">
        <v>411</v>
      </c>
      <c r="E205" s="6" t="s">
        <v>379</v>
      </c>
      <c r="F205" s="1" t="s">
        <v>86</v>
      </c>
      <c r="G205" s="6" t="s">
        <v>316</v>
      </c>
      <c r="H205" s="1">
        <v>31</v>
      </c>
      <c r="I205" s="2">
        <v>8.4</v>
      </c>
      <c r="J205" s="2">
        <v>4.6500000000000004</v>
      </c>
      <c r="K205" s="6">
        <f t="shared" si="1"/>
        <v>5.6631978000629406</v>
      </c>
      <c r="L205" s="1">
        <v>1.8064516129032258</v>
      </c>
      <c r="M205" s="2">
        <v>6.3700000000000007E-2</v>
      </c>
      <c r="N205" s="6">
        <v>10.415301483404594</v>
      </c>
      <c r="O205" s="2">
        <v>90</v>
      </c>
      <c r="P205" s="1">
        <v>81</v>
      </c>
      <c r="Q205" s="1">
        <v>0.9</v>
      </c>
      <c r="R205" s="1">
        <v>0.59893107902649168</v>
      </c>
      <c r="S205" s="1">
        <v>7.1051026552305357E-2</v>
      </c>
    </row>
    <row r="206" spans="1:19" x14ac:dyDescent="0.25">
      <c r="A206" s="6" t="s">
        <v>159</v>
      </c>
      <c r="B206" s="1" t="s">
        <v>65</v>
      </c>
      <c r="C206" s="4" t="s">
        <v>177</v>
      </c>
      <c r="D206" s="6" t="s">
        <v>429</v>
      </c>
      <c r="E206" s="6" t="s">
        <v>363</v>
      </c>
      <c r="F206" s="1" t="s">
        <v>3</v>
      </c>
      <c r="G206" s="6" t="s">
        <v>318</v>
      </c>
      <c r="H206" s="1">
        <v>31</v>
      </c>
      <c r="I206" s="2">
        <v>8.81</v>
      </c>
      <c r="J206" s="2">
        <v>4.54</v>
      </c>
      <c r="K206" s="6">
        <f t="shared" si="1"/>
        <v>5.6627736783096916</v>
      </c>
      <c r="L206" s="1">
        <v>1.9405286343612336</v>
      </c>
      <c r="M206" s="2">
        <v>6.9900000000000004E-2</v>
      </c>
      <c r="N206" s="6">
        <v>9.991831786216272</v>
      </c>
      <c r="O206" s="2">
        <v>32</v>
      </c>
      <c r="P206" s="1">
        <v>32</v>
      </c>
      <c r="Q206" s="1">
        <v>1</v>
      </c>
      <c r="R206" s="1">
        <v>0.67609623004574471</v>
      </c>
      <c r="S206" s="1">
        <v>3.7258504192503678E-2</v>
      </c>
    </row>
    <row r="207" spans="1:19" x14ac:dyDescent="0.25">
      <c r="A207" s="6" t="s">
        <v>159</v>
      </c>
      <c r="B207" s="1" t="s">
        <v>38</v>
      </c>
      <c r="C207" s="4" t="s">
        <v>178</v>
      </c>
      <c r="D207" s="6" t="s">
        <v>423</v>
      </c>
      <c r="E207" s="6" t="s">
        <v>359</v>
      </c>
      <c r="F207" s="1" t="s">
        <v>3</v>
      </c>
      <c r="G207" s="6" t="s">
        <v>318</v>
      </c>
      <c r="H207" s="1">
        <v>32</v>
      </c>
      <c r="I207" s="2">
        <v>9.5500000000000007</v>
      </c>
      <c r="J207" s="2">
        <v>4.8899999999999997</v>
      </c>
      <c r="K207" s="6">
        <f t="shared" si="1"/>
        <v>6.1123333287887043</v>
      </c>
      <c r="L207" s="1">
        <v>1.9529652351738245</v>
      </c>
      <c r="M207" s="2">
        <v>8.1600000000000006E-2</v>
      </c>
      <c r="N207" s="6">
        <v>9.2913891699617981</v>
      </c>
      <c r="O207" s="2">
        <v>66</v>
      </c>
      <c r="P207" s="1">
        <v>57</v>
      </c>
      <c r="Q207" s="1">
        <v>0.86363636363636365</v>
      </c>
      <c r="R207" s="1">
        <v>0.65468944288373199</v>
      </c>
      <c r="S207" s="1">
        <v>4.6291496325731395E-2</v>
      </c>
    </row>
    <row r="208" spans="1:19" x14ac:dyDescent="0.25">
      <c r="A208" s="6" t="s">
        <v>159</v>
      </c>
      <c r="B208" s="1" t="s">
        <v>65</v>
      </c>
      <c r="C208" s="4" t="s">
        <v>179</v>
      </c>
      <c r="D208" s="6" t="s">
        <v>433</v>
      </c>
      <c r="E208" s="6" t="s">
        <v>366</v>
      </c>
      <c r="F208" s="1" t="s">
        <v>3</v>
      </c>
      <c r="G208" s="6" t="s">
        <v>318</v>
      </c>
      <c r="H208" s="1">
        <v>31</v>
      </c>
      <c r="I208" s="2">
        <v>8.25</v>
      </c>
      <c r="J208" s="2">
        <v>3.94</v>
      </c>
      <c r="K208" s="6">
        <f t="shared" si="1"/>
        <v>5.0405987887710442</v>
      </c>
      <c r="L208" s="1">
        <v>2.0939086294416245</v>
      </c>
      <c r="M208" s="2">
        <v>4.0899999999999999E-2</v>
      </c>
      <c r="N208" s="6">
        <v>7.0359569429443471</v>
      </c>
      <c r="O208" s="2">
        <v>13</v>
      </c>
      <c r="P208" s="1">
        <v>12</v>
      </c>
      <c r="Q208" s="1">
        <v>0.92307692307692313</v>
      </c>
      <c r="R208" s="1">
        <v>0.63507987689050993</v>
      </c>
      <c r="S208" s="1">
        <v>8.1894175234770106E-2</v>
      </c>
    </row>
    <row r="209" spans="1:19" x14ac:dyDescent="0.25">
      <c r="A209" s="6" t="s">
        <v>159</v>
      </c>
      <c r="B209" s="1" t="s">
        <v>58</v>
      </c>
      <c r="C209" s="4" t="s">
        <v>180</v>
      </c>
      <c r="D209" s="6" t="s">
        <v>434</v>
      </c>
      <c r="E209" s="6" t="s">
        <v>367</v>
      </c>
      <c r="F209" s="1" t="s">
        <v>3</v>
      </c>
      <c r="G209" s="6" t="s">
        <v>318</v>
      </c>
      <c r="H209" s="1">
        <v>33</v>
      </c>
      <c r="I209" s="2">
        <v>10.06</v>
      </c>
      <c r="J209" s="2">
        <v>4.91</v>
      </c>
      <c r="K209" s="6">
        <f t="shared" si="1"/>
        <v>6.2362041173858094</v>
      </c>
      <c r="L209" s="1">
        <v>2.0488798370672097</v>
      </c>
      <c r="M209" s="2">
        <v>9.0899999999999995E-2</v>
      </c>
      <c r="N209" s="6">
        <v>8.937942935945216</v>
      </c>
      <c r="O209" s="2">
        <v>17</v>
      </c>
      <c r="P209" s="1">
        <v>14</v>
      </c>
      <c r="Q209" s="1">
        <v>0.82352941176470584</v>
      </c>
      <c r="R209" s="1">
        <v>0.6036047880533566</v>
      </c>
      <c r="S209" s="1" t="s">
        <v>181</v>
      </c>
    </row>
    <row r="210" spans="1:19" x14ac:dyDescent="0.25">
      <c r="A210" s="6" t="s">
        <v>159</v>
      </c>
      <c r="B210" s="1" t="s">
        <v>79</v>
      </c>
      <c r="C210" s="4" t="s">
        <v>182</v>
      </c>
      <c r="D210" s="6" t="s">
        <v>418</v>
      </c>
      <c r="E210" s="6" t="s">
        <v>357</v>
      </c>
      <c r="F210" s="1" t="s">
        <v>3</v>
      </c>
      <c r="G210" s="6" t="s">
        <v>318</v>
      </c>
      <c r="H210" s="1">
        <v>33</v>
      </c>
      <c r="I210" s="2">
        <v>10.27</v>
      </c>
      <c r="J210" s="2">
        <v>5.54</v>
      </c>
      <c r="K210" s="6">
        <f t="shared" si="1"/>
        <v>6.8055514930779273</v>
      </c>
      <c r="L210" s="1">
        <v>1.8537906137184115</v>
      </c>
      <c r="M210" s="2">
        <v>0.10929999999999999</v>
      </c>
      <c r="N210" s="6">
        <v>10.138915673771567</v>
      </c>
      <c r="O210" s="2">
        <v>57</v>
      </c>
      <c r="P210" s="1">
        <v>55</v>
      </c>
      <c r="Q210" s="1">
        <v>0.96491228070175439</v>
      </c>
      <c r="R210" s="1">
        <v>0.68473822529504647</v>
      </c>
      <c r="S210" s="1">
        <v>6.3462573510972758E-2</v>
      </c>
    </row>
    <row r="211" spans="1:19" x14ac:dyDescent="0.25">
      <c r="A211" s="6" t="s">
        <v>159</v>
      </c>
      <c r="B211" s="1" t="s">
        <v>72</v>
      </c>
      <c r="C211" s="4" t="s">
        <v>279</v>
      </c>
      <c r="D211" s="6" t="s">
        <v>426</v>
      </c>
      <c r="E211" s="6" t="s">
        <v>387</v>
      </c>
      <c r="F211" s="1" t="s">
        <v>86</v>
      </c>
      <c r="G211" s="6" t="s">
        <v>316</v>
      </c>
      <c r="H211" s="1">
        <v>32</v>
      </c>
      <c r="I211" s="2">
        <v>9.2899999999999991</v>
      </c>
      <c r="J211" s="2">
        <v>5.32</v>
      </c>
      <c r="K211" s="6">
        <f t="shared" si="1"/>
        <v>6.4063843842839088</v>
      </c>
      <c r="L211" s="1">
        <v>1.746240601503759</v>
      </c>
      <c r="M211" s="2">
        <v>0.1099</v>
      </c>
      <c r="N211" s="6">
        <v>13.526747366467411</v>
      </c>
      <c r="O211" s="2">
        <v>23</v>
      </c>
      <c r="P211" s="2">
        <v>16</v>
      </c>
      <c r="Q211" s="1">
        <v>0.69565217391304346</v>
      </c>
      <c r="R211" s="1">
        <v>0.64164700756486281</v>
      </c>
      <c r="S211" s="1">
        <v>4.3945115233059669E-2</v>
      </c>
    </row>
    <row r="212" spans="1:19" x14ac:dyDescent="0.25">
      <c r="A212" s="6" t="s">
        <v>159</v>
      </c>
      <c r="B212" s="1" t="s">
        <v>45</v>
      </c>
      <c r="C212" s="4" t="s">
        <v>280</v>
      </c>
      <c r="D212" s="6" t="s">
        <v>419</v>
      </c>
      <c r="E212" s="6" t="s">
        <v>383</v>
      </c>
      <c r="F212" s="1" t="s">
        <v>86</v>
      </c>
      <c r="G212" s="6" t="s">
        <v>316</v>
      </c>
      <c r="H212" s="1">
        <v>35</v>
      </c>
      <c r="I212" s="2">
        <v>9.9499999999999993</v>
      </c>
      <c r="J212" s="2">
        <v>6.29</v>
      </c>
      <c r="K212" s="6">
        <f t="shared" si="1"/>
        <v>7.328944909980649</v>
      </c>
      <c r="L212" s="1">
        <v>1.5818759936406994</v>
      </c>
      <c r="M212" s="2">
        <v>0.1789</v>
      </c>
      <c r="N212" s="6">
        <v>18.144677471826029</v>
      </c>
      <c r="O212" s="2">
        <v>98</v>
      </c>
      <c r="P212" s="2">
        <v>58</v>
      </c>
      <c r="Q212" s="1">
        <v>0.59183673469387754</v>
      </c>
      <c r="R212" s="1">
        <v>0.70692598065901802</v>
      </c>
      <c r="S212" s="1">
        <v>0.13676713085606304</v>
      </c>
    </row>
    <row r="213" spans="1:19" x14ac:dyDescent="0.25">
      <c r="A213" s="6" t="s">
        <v>159</v>
      </c>
      <c r="B213" s="1" t="s">
        <v>65</v>
      </c>
      <c r="C213" s="4" t="s">
        <v>179</v>
      </c>
      <c r="D213" s="6" t="s">
        <v>433</v>
      </c>
      <c r="E213" s="6" t="s">
        <v>366</v>
      </c>
      <c r="F213" s="1" t="s">
        <v>3</v>
      </c>
      <c r="G213" s="6" t="s">
        <v>318</v>
      </c>
      <c r="H213" s="1">
        <v>33</v>
      </c>
      <c r="I213" s="2">
        <v>9.4600000000000009</v>
      </c>
      <c r="J213" s="2">
        <v>4.9400000000000004</v>
      </c>
      <c r="K213" s="6">
        <f t="shared" si="1"/>
        <v>6.1345354160351349</v>
      </c>
      <c r="L213" s="1">
        <v>1.9149797570850202</v>
      </c>
      <c r="M213" s="2">
        <v>9.1600000000000001E-2</v>
      </c>
      <c r="N213" s="6">
        <v>10.712293644587644</v>
      </c>
      <c r="O213" s="2">
        <v>19</v>
      </c>
      <c r="P213" s="2">
        <v>18</v>
      </c>
      <c r="Q213" s="1">
        <v>0.94736842105263153</v>
      </c>
      <c r="R213" s="1">
        <v>0.61867845687100065</v>
      </c>
      <c r="S213" s="1">
        <v>6.5811232206923739E-2</v>
      </c>
    </row>
    <row r="214" spans="1:19" x14ac:dyDescent="0.25">
      <c r="A214" s="6" t="s">
        <v>159</v>
      </c>
      <c r="B214" s="1" t="s">
        <v>38</v>
      </c>
      <c r="C214" s="4" t="s">
        <v>281</v>
      </c>
      <c r="D214" s="6" t="s">
        <v>421</v>
      </c>
      <c r="E214" s="6" t="s">
        <v>384</v>
      </c>
      <c r="F214" s="1" t="s">
        <v>86</v>
      </c>
      <c r="G214" s="6" t="s">
        <v>316</v>
      </c>
      <c r="H214" s="1">
        <v>34</v>
      </c>
      <c r="I214" s="2">
        <v>7.27</v>
      </c>
      <c r="J214" s="2">
        <v>3.92</v>
      </c>
      <c r="K214" s="6">
        <f t="shared" si="1"/>
        <v>4.8161741418913309</v>
      </c>
      <c r="L214" s="1">
        <v>1.8545918367346939</v>
      </c>
      <c r="M214" s="2">
        <v>4.7199999999999999E-2</v>
      </c>
      <c r="N214" s="6">
        <v>11.598850747148887</v>
      </c>
      <c r="O214" s="2">
        <v>26</v>
      </c>
      <c r="P214" s="2">
        <v>23</v>
      </c>
      <c r="Q214" s="1">
        <v>0.88461538461538458</v>
      </c>
      <c r="R214" s="1">
        <v>0.68632363727242218</v>
      </c>
      <c r="S214" s="1">
        <v>3.1600570437013413E-2</v>
      </c>
    </row>
    <row r="215" spans="1:19" x14ac:dyDescent="0.25">
      <c r="A215" s="6" t="s">
        <v>159</v>
      </c>
      <c r="B215" s="1" t="s">
        <v>65</v>
      </c>
      <c r="C215" s="4" t="s">
        <v>282</v>
      </c>
      <c r="D215" s="6" t="s">
        <v>422</v>
      </c>
      <c r="E215" s="6" t="s">
        <v>385</v>
      </c>
      <c r="F215" s="1" t="s">
        <v>86</v>
      </c>
      <c r="G215" s="6" t="s">
        <v>316</v>
      </c>
      <c r="H215" s="1">
        <v>34</v>
      </c>
      <c r="I215" s="2">
        <v>8.48</v>
      </c>
      <c r="J215" s="2">
        <v>5.13</v>
      </c>
      <c r="K215" s="6">
        <f t="shared" si="1"/>
        <v>6.0656432091214398</v>
      </c>
      <c r="L215" s="1">
        <v>1.6530214424951268</v>
      </c>
      <c r="M215" s="2">
        <v>0.10879999999999999</v>
      </c>
      <c r="N215" s="6">
        <v>17.320187612814344</v>
      </c>
      <c r="O215" s="2">
        <v>122</v>
      </c>
      <c r="P215" s="2">
        <v>121</v>
      </c>
      <c r="Q215" s="1">
        <v>0.99180327868852458</v>
      </c>
      <c r="R215" s="1">
        <v>0.62877894534824741</v>
      </c>
      <c r="S215" s="1">
        <v>4.8317348002313146E-2</v>
      </c>
    </row>
    <row r="216" spans="1:19" x14ac:dyDescent="0.25">
      <c r="A216" s="6" t="s">
        <v>159</v>
      </c>
      <c r="B216" s="1" t="s">
        <v>65</v>
      </c>
      <c r="C216" s="4" t="s">
        <v>283</v>
      </c>
      <c r="D216" s="6" t="s">
        <v>431</v>
      </c>
      <c r="E216" s="6" t="s">
        <v>388</v>
      </c>
      <c r="F216" s="1" t="s">
        <v>86</v>
      </c>
      <c r="G216" s="6" t="s">
        <v>316</v>
      </c>
      <c r="H216" s="1">
        <v>34</v>
      </c>
      <c r="I216" s="2">
        <v>9.02</v>
      </c>
      <c r="J216" s="2">
        <v>4.83</v>
      </c>
      <c r="K216" s="6">
        <f t="shared" si="1"/>
        <v>5.9479448496259826</v>
      </c>
      <c r="L216" s="1">
        <v>1.867494824016563</v>
      </c>
      <c r="M216" s="2">
        <v>7.9299999999999995E-2</v>
      </c>
      <c r="N216" s="6">
        <v>10.606955612730195</v>
      </c>
      <c r="O216" s="2">
        <v>88</v>
      </c>
      <c r="P216" s="2">
        <v>76</v>
      </c>
      <c r="Q216" s="1">
        <v>0.86363636363636365</v>
      </c>
      <c r="R216" s="1">
        <v>0.60221419638009899</v>
      </c>
      <c r="S216" s="1">
        <v>4.7332830425056427E-2</v>
      </c>
    </row>
    <row r="217" spans="1:19" x14ac:dyDescent="0.25">
      <c r="A217" s="6" t="s">
        <v>159</v>
      </c>
      <c r="B217" s="1" t="s">
        <v>65</v>
      </c>
      <c r="C217" s="4" t="s">
        <v>284</v>
      </c>
      <c r="D217" s="6" t="s">
        <v>422</v>
      </c>
      <c r="E217" s="6" t="s">
        <v>385</v>
      </c>
      <c r="F217" s="1" t="s">
        <v>86</v>
      </c>
      <c r="G217" s="6" t="s">
        <v>316</v>
      </c>
      <c r="H217" s="1">
        <v>34</v>
      </c>
      <c r="I217" s="2">
        <v>9.43</v>
      </c>
      <c r="J217" s="2">
        <v>5.44</v>
      </c>
      <c r="K217" s="6">
        <f t="shared" si="1"/>
        <v>6.5348631523300877</v>
      </c>
      <c r="L217" s="1">
        <v>1.7334558823529409</v>
      </c>
      <c r="M217" s="2">
        <v>0.1124</v>
      </c>
      <c r="N217" s="6">
        <v>13.263047888225016</v>
      </c>
      <c r="O217" s="2">
        <v>122</v>
      </c>
      <c r="P217" s="2">
        <v>67</v>
      </c>
      <c r="Q217" s="1">
        <v>0.54918032786885251</v>
      </c>
      <c r="R217" s="1">
        <v>0.64443948457633715</v>
      </c>
      <c r="S217" s="1">
        <v>4.2500021708858388E-2</v>
      </c>
    </row>
    <row r="218" spans="1:19" x14ac:dyDescent="0.25">
      <c r="A218" s="6" t="s">
        <v>159</v>
      </c>
      <c r="B218" s="1" t="s">
        <v>4</v>
      </c>
      <c r="C218" s="4" t="s">
        <v>183</v>
      </c>
      <c r="D218" s="6" t="s">
        <v>435</v>
      </c>
      <c r="E218" s="6" t="s">
        <v>389</v>
      </c>
      <c r="F218" s="1" t="s">
        <v>3</v>
      </c>
      <c r="G218" s="6" t="s">
        <v>318</v>
      </c>
      <c r="H218" s="1">
        <v>27</v>
      </c>
      <c r="I218" s="2">
        <v>8.68</v>
      </c>
      <c r="J218" s="2">
        <v>4.55</v>
      </c>
      <c r="K218" s="6">
        <f t="shared" si="1"/>
        <v>5.6430535666893773</v>
      </c>
      <c r="L218" s="1">
        <v>1.9076923076923078</v>
      </c>
      <c r="M218" s="2">
        <v>8.3699999999999997E-2</v>
      </c>
      <c r="N218" s="6">
        <v>12.476702881998381</v>
      </c>
      <c r="O218" s="2">
        <v>57</v>
      </c>
      <c r="P218" s="2">
        <v>53</v>
      </c>
      <c r="Q218" s="1">
        <v>0.92982456140350878</v>
      </c>
      <c r="R218" s="1">
        <v>0.6583314592673325</v>
      </c>
      <c r="S218" s="1">
        <v>5.0179364561768081E-2</v>
      </c>
    </row>
    <row r="219" spans="1:19" x14ac:dyDescent="0.25">
      <c r="A219" s="6" t="s">
        <v>159</v>
      </c>
      <c r="B219" s="1" t="s">
        <v>38</v>
      </c>
      <c r="C219" s="4" t="s">
        <v>184</v>
      </c>
      <c r="D219" s="6" t="s">
        <v>416</v>
      </c>
      <c r="E219" s="6" t="s">
        <v>355</v>
      </c>
      <c r="F219" s="1" t="s">
        <v>3</v>
      </c>
      <c r="G219" s="6" t="s">
        <v>318</v>
      </c>
      <c r="H219" s="1">
        <v>36</v>
      </c>
      <c r="I219" s="2">
        <v>10.25</v>
      </c>
      <c r="J219" s="2">
        <v>5.54</v>
      </c>
      <c r="K219" s="6">
        <f t="shared" si="1"/>
        <v>6.8011308672851296</v>
      </c>
      <c r="L219" s="1">
        <v>1.8501805054151625</v>
      </c>
      <c r="M219" s="2">
        <v>0.13239999999999999</v>
      </c>
      <c r="N219" s="6">
        <v>12.349423514591146</v>
      </c>
      <c r="O219" s="2">
        <v>50</v>
      </c>
      <c r="P219" s="2">
        <v>28</v>
      </c>
      <c r="Q219" s="1">
        <v>0.56000000000000005</v>
      </c>
      <c r="R219" s="1">
        <v>0.70338024059346815</v>
      </c>
      <c r="S219" s="1">
        <v>3.9760150828771108E-2</v>
      </c>
    </row>
    <row r="220" spans="1:19" x14ac:dyDescent="0.25">
      <c r="A220" s="6" t="s">
        <v>159</v>
      </c>
      <c r="B220" s="1" t="s">
        <v>24</v>
      </c>
      <c r="C220" s="4" t="s">
        <v>285</v>
      </c>
      <c r="D220" s="6" t="s">
        <v>436</v>
      </c>
      <c r="E220" s="6" t="s">
        <v>390</v>
      </c>
      <c r="F220" s="1" t="s">
        <v>86</v>
      </c>
      <c r="G220" s="6" t="s">
        <v>316</v>
      </c>
      <c r="H220" s="1">
        <v>29</v>
      </c>
      <c r="I220" s="2">
        <v>8.68</v>
      </c>
      <c r="J220" s="2">
        <v>4.5199999999999996</v>
      </c>
      <c r="K220" s="6">
        <f t="shared" si="1"/>
        <v>5.6182215976056566</v>
      </c>
      <c r="L220" s="1">
        <v>1.9203539823008851</v>
      </c>
      <c r="M220" s="2">
        <v>7.0199999999999999E-2</v>
      </c>
      <c r="N220" s="6">
        <v>10.464331449417998</v>
      </c>
      <c r="O220" s="2">
        <v>62</v>
      </c>
      <c r="P220" s="2">
        <v>61</v>
      </c>
      <c r="Q220" s="1">
        <v>0.9838709677419355</v>
      </c>
      <c r="R220" s="1">
        <v>0.6870937508808207</v>
      </c>
      <c r="S220" s="1">
        <v>2.9683757735162523E-2</v>
      </c>
    </row>
    <row r="221" spans="1:19" x14ac:dyDescent="0.25">
      <c r="A221" s="6" t="s">
        <v>159</v>
      </c>
      <c r="B221" s="1" t="s">
        <v>31</v>
      </c>
      <c r="C221" s="4" t="s">
        <v>185</v>
      </c>
      <c r="D221" s="6" t="s">
        <v>417</v>
      </c>
      <c r="E221" s="6" t="s">
        <v>356</v>
      </c>
      <c r="F221" s="1" t="s">
        <v>3</v>
      </c>
      <c r="G221" s="6" t="s">
        <v>318</v>
      </c>
      <c r="H221" s="1">
        <v>37</v>
      </c>
      <c r="I221" s="2">
        <v>10.09</v>
      </c>
      <c r="J221" s="2">
        <v>6.07</v>
      </c>
      <c r="K221" s="6">
        <f t="shared" si="1"/>
        <v>7.1904518561095569</v>
      </c>
      <c r="L221" s="1">
        <v>1.6622734761120264</v>
      </c>
      <c r="M221" s="2">
        <v>0.1525</v>
      </c>
      <c r="N221" s="6">
        <v>14.869513341322051</v>
      </c>
      <c r="O221" s="2">
        <v>121</v>
      </c>
      <c r="P221" s="2">
        <v>109</v>
      </c>
      <c r="Q221" s="1">
        <v>0.90082644628099173</v>
      </c>
      <c r="R221" s="1">
        <v>0.72314055849730785</v>
      </c>
      <c r="S221" s="1">
        <v>5.2664067109129839E-2</v>
      </c>
    </row>
    <row r="222" spans="1:19" x14ac:dyDescent="0.25">
      <c r="A222" s="6" t="s">
        <v>159</v>
      </c>
      <c r="B222" s="1" t="s">
        <v>65</v>
      </c>
      <c r="C222" s="4" t="s">
        <v>186</v>
      </c>
      <c r="D222" s="6" t="s">
        <v>433</v>
      </c>
      <c r="E222" s="6" t="s">
        <v>366</v>
      </c>
      <c r="F222" s="1" t="s">
        <v>3</v>
      </c>
      <c r="G222" s="6" t="s">
        <v>318</v>
      </c>
      <c r="H222" s="1">
        <v>35</v>
      </c>
      <c r="I222" s="2">
        <v>11.75</v>
      </c>
      <c r="J222" s="2">
        <v>5.85</v>
      </c>
      <c r="K222" s="6">
        <f t="shared" si="1"/>
        <v>7.3810225630477113</v>
      </c>
      <c r="L222" s="1">
        <v>2.0085470085470085</v>
      </c>
      <c r="M222" s="2">
        <v>0.16339999999999999</v>
      </c>
      <c r="N222" s="6">
        <v>10.369200410180415</v>
      </c>
      <c r="O222" s="2">
        <v>158</v>
      </c>
      <c r="P222" s="2">
        <v>150</v>
      </c>
      <c r="Q222" s="1">
        <v>0.94936708860759489</v>
      </c>
      <c r="R222" s="1">
        <v>0.67363639464480451</v>
      </c>
      <c r="S222" s="1">
        <v>4.8208315978818791E-2</v>
      </c>
    </row>
    <row r="223" spans="1:19" x14ac:dyDescent="0.25">
      <c r="A223" s="6" t="s">
        <v>159</v>
      </c>
      <c r="B223" s="1" t="s">
        <v>58</v>
      </c>
      <c r="C223" s="4" t="s">
        <v>187</v>
      </c>
      <c r="D223" s="6" t="s">
        <v>434</v>
      </c>
      <c r="E223" s="6" t="s">
        <v>367</v>
      </c>
      <c r="F223" s="1" t="s">
        <v>3</v>
      </c>
      <c r="G223" s="6" t="s">
        <v>318</v>
      </c>
      <c r="H223" s="1">
        <v>37</v>
      </c>
      <c r="I223" s="2">
        <v>8.33</v>
      </c>
      <c r="J223" s="2">
        <v>4.62</v>
      </c>
      <c r="K223" s="6">
        <f t="shared" si="1"/>
        <v>5.6231066101588993</v>
      </c>
      <c r="L223" s="1">
        <v>1.803030303030303</v>
      </c>
      <c r="M223" s="2">
        <v>7.6300000000000007E-2</v>
      </c>
      <c r="N223" s="6">
        <v>12.773374165669878</v>
      </c>
      <c r="O223" s="2">
        <v>67</v>
      </c>
      <c r="P223" s="2">
        <v>42</v>
      </c>
      <c r="Q223" s="1">
        <v>0.62686567164179108</v>
      </c>
      <c r="R223" s="1">
        <v>0.65620671930546748</v>
      </c>
      <c r="S223" s="1">
        <v>3.6626913877167676E-2</v>
      </c>
    </row>
    <row r="224" spans="1:19" x14ac:dyDescent="0.25">
      <c r="A224" s="6" t="s">
        <v>159</v>
      </c>
      <c r="B224" s="1" t="s">
        <v>4</v>
      </c>
      <c r="C224" s="4" t="s">
        <v>286</v>
      </c>
      <c r="D224" s="6" t="s">
        <v>424</v>
      </c>
      <c r="E224" s="6" t="s">
        <v>360</v>
      </c>
      <c r="F224" s="1" t="s">
        <v>86</v>
      </c>
      <c r="G224" s="6" t="s">
        <v>316</v>
      </c>
      <c r="H224" s="1">
        <v>36</v>
      </c>
      <c r="I224" s="2">
        <v>11.1</v>
      </c>
      <c r="J224" s="2">
        <v>5.83</v>
      </c>
      <c r="K224" s="6">
        <f t="shared" si="1"/>
        <v>7.2258126343368785</v>
      </c>
      <c r="L224" s="1">
        <v>1.9039451114922812</v>
      </c>
      <c r="M224" s="2">
        <v>0.14319999999999999</v>
      </c>
      <c r="N224" s="6">
        <v>10.669208880887645</v>
      </c>
      <c r="O224" s="2">
        <v>33</v>
      </c>
      <c r="P224" s="2">
        <v>32</v>
      </c>
      <c r="Q224" s="1">
        <v>0.96969696969696972</v>
      </c>
      <c r="R224" s="1">
        <v>0.71984668170750543</v>
      </c>
      <c r="S224" s="1">
        <v>4.8654581923732135E-2</v>
      </c>
    </row>
    <row r="225" spans="1:19" x14ac:dyDescent="0.25">
      <c r="A225" s="6" t="s">
        <v>159</v>
      </c>
      <c r="B225" s="1" t="s">
        <v>65</v>
      </c>
      <c r="C225" s="4" t="s">
        <v>287</v>
      </c>
      <c r="D225" s="6" t="s">
        <v>431</v>
      </c>
      <c r="E225" s="6" t="s">
        <v>388</v>
      </c>
      <c r="F225" s="1" t="s">
        <v>86</v>
      </c>
      <c r="G225" s="6" t="s">
        <v>316</v>
      </c>
      <c r="H225" s="1">
        <v>36</v>
      </c>
      <c r="I225" s="2">
        <v>10.3</v>
      </c>
      <c r="J225" s="2">
        <v>5.46</v>
      </c>
      <c r="K225" s="6">
        <f t="shared" si="1"/>
        <v>6.7464323533705288</v>
      </c>
      <c r="L225" s="1">
        <v>1.8864468864468866</v>
      </c>
      <c r="M225" s="2">
        <v>0.1263</v>
      </c>
      <c r="N225" s="6">
        <v>11.619899634048558</v>
      </c>
      <c r="O225" s="2">
        <v>161</v>
      </c>
      <c r="P225" s="2">
        <v>159</v>
      </c>
      <c r="Q225" s="1">
        <v>0.98757763975155277</v>
      </c>
      <c r="R225" s="1">
        <v>0.64300019681946519</v>
      </c>
      <c r="S225" s="1">
        <v>5.1394370887018238E-2</v>
      </c>
    </row>
    <row r="226" spans="1:19" x14ac:dyDescent="0.25">
      <c r="A226" s="6" t="s">
        <v>159</v>
      </c>
      <c r="B226" s="1" t="s">
        <v>45</v>
      </c>
      <c r="C226" s="4" t="s">
        <v>288</v>
      </c>
      <c r="D226" s="6" t="s">
        <v>409</v>
      </c>
      <c r="E226" s="6" t="s">
        <v>377</v>
      </c>
      <c r="F226" s="1" t="s">
        <v>86</v>
      </c>
      <c r="G226" s="6" t="s">
        <v>316</v>
      </c>
      <c r="H226" s="1">
        <v>36</v>
      </c>
      <c r="I226" s="2">
        <v>9.4600000000000009</v>
      </c>
      <c r="J226" s="2">
        <v>5.35</v>
      </c>
      <c r="K226" s="6">
        <f t="shared" si="1"/>
        <v>6.4694332082736228</v>
      </c>
      <c r="L226" s="1">
        <v>1.7682242990654209</v>
      </c>
      <c r="M226" s="2">
        <v>0.11650000000000001</v>
      </c>
      <c r="N226" s="6">
        <v>13.624259930070529</v>
      </c>
      <c r="O226" s="2">
        <v>83</v>
      </c>
      <c r="P226" s="2">
        <v>64</v>
      </c>
      <c r="Q226" s="1">
        <v>0.77108433734939763</v>
      </c>
      <c r="R226" s="1">
        <v>0.63716916820955272</v>
      </c>
      <c r="S226" s="1">
        <v>0.10272902530856537</v>
      </c>
    </row>
    <row r="227" spans="1:19" x14ac:dyDescent="0.25">
      <c r="A227" s="6" t="s">
        <v>159</v>
      </c>
      <c r="B227" s="1" t="s">
        <v>4</v>
      </c>
      <c r="C227" s="4" t="s">
        <v>188</v>
      </c>
      <c r="D227" s="6" t="s">
        <v>435</v>
      </c>
      <c r="E227" s="6" t="s">
        <v>389</v>
      </c>
      <c r="F227" s="1" t="s">
        <v>3</v>
      </c>
      <c r="G227" s="6" t="s">
        <v>318</v>
      </c>
      <c r="H227" s="1">
        <v>29</v>
      </c>
      <c r="I227" s="2">
        <v>9.2899999999999991</v>
      </c>
      <c r="J227" s="2">
        <v>5.45</v>
      </c>
      <c r="K227" s="6">
        <f t="shared" si="1"/>
        <v>6.510328549577137</v>
      </c>
      <c r="L227" s="1">
        <v>1.7045871559633026</v>
      </c>
      <c r="M227" s="2">
        <v>0.1207</v>
      </c>
      <c r="N227" s="6">
        <v>14.856036461625264</v>
      </c>
      <c r="O227" s="2">
        <v>53</v>
      </c>
      <c r="P227" s="2">
        <v>55</v>
      </c>
      <c r="Q227" s="1">
        <v>1</v>
      </c>
      <c r="R227" s="1">
        <v>0.67616573263597901</v>
      </c>
      <c r="S227" s="1">
        <v>5.8454273984478174E-2</v>
      </c>
    </row>
    <row r="228" spans="1:19" x14ac:dyDescent="0.25">
      <c r="A228" s="6" t="s">
        <v>159</v>
      </c>
      <c r="B228" s="1" t="s">
        <v>58</v>
      </c>
      <c r="C228" s="4" t="s">
        <v>189</v>
      </c>
      <c r="D228" s="6" t="s">
        <v>434</v>
      </c>
      <c r="E228" s="6" t="s">
        <v>367</v>
      </c>
      <c r="F228" s="1" t="s">
        <v>3</v>
      </c>
      <c r="G228" s="6" t="s">
        <v>318</v>
      </c>
      <c r="H228" s="1">
        <v>38</v>
      </c>
      <c r="I228" s="2">
        <v>10.18</v>
      </c>
      <c r="J228" s="2">
        <v>5.35</v>
      </c>
      <c r="K228" s="6">
        <f t="shared" si="1"/>
        <v>6.6295662361522059</v>
      </c>
      <c r="L228" s="1">
        <v>1.9028037383177572</v>
      </c>
      <c r="M228" s="2">
        <v>0.1182</v>
      </c>
      <c r="N228" s="6">
        <v>11.240062926085516</v>
      </c>
      <c r="O228" s="2">
        <v>27</v>
      </c>
      <c r="P228" s="2">
        <v>17</v>
      </c>
      <c r="Q228" s="1">
        <v>0.62962962962962965</v>
      </c>
      <c r="R228" s="1">
        <v>0.66191594615446525</v>
      </c>
      <c r="S228" s="1">
        <v>7.0944385674468549E-2</v>
      </c>
    </row>
    <row r="229" spans="1:19" x14ac:dyDescent="0.25">
      <c r="A229" s="6" t="s">
        <v>159</v>
      </c>
      <c r="B229" s="1" t="s">
        <v>24</v>
      </c>
      <c r="C229" s="4" t="s">
        <v>190</v>
      </c>
      <c r="D229" s="6" t="s">
        <v>437</v>
      </c>
      <c r="E229" s="6" t="s">
        <v>368</v>
      </c>
      <c r="F229" s="1" t="s">
        <v>3</v>
      </c>
      <c r="G229" s="6" t="s">
        <v>318</v>
      </c>
      <c r="H229" s="1">
        <v>32</v>
      </c>
      <c r="I229" s="2">
        <v>9.7100000000000009</v>
      </c>
      <c r="J229" s="2">
        <v>5.35</v>
      </c>
      <c r="K229" s="6">
        <f t="shared" si="1"/>
        <v>6.5259278002282741</v>
      </c>
      <c r="L229" s="1">
        <v>1.8149532710280376</v>
      </c>
      <c r="M229" s="2">
        <v>0.114</v>
      </c>
      <c r="N229" s="6">
        <v>12.38644341475552</v>
      </c>
      <c r="O229" s="2">
        <v>60</v>
      </c>
      <c r="P229" s="2">
        <v>48</v>
      </c>
      <c r="Q229" s="1">
        <v>0.8</v>
      </c>
      <c r="R229" s="1">
        <v>0.66319427055328795</v>
      </c>
      <c r="S229" s="1">
        <v>6.5217781269651026E-2</v>
      </c>
    </row>
    <row r="230" spans="1:19" x14ac:dyDescent="0.25">
      <c r="A230" s="6" t="s">
        <v>159</v>
      </c>
      <c r="B230" s="1" t="s">
        <v>72</v>
      </c>
      <c r="C230" s="4" t="s">
        <v>191</v>
      </c>
      <c r="D230" s="6" t="s">
        <v>430</v>
      </c>
      <c r="E230" s="6" t="s">
        <v>364</v>
      </c>
      <c r="F230" s="1" t="s">
        <v>3</v>
      </c>
      <c r="G230" s="6" t="s">
        <v>318</v>
      </c>
      <c r="H230" s="1">
        <v>37</v>
      </c>
      <c r="I230" s="2">
        <v>10.65</v>
      </c>
      <c r="J230" s="2">
        <v>6.03</v>
      </c>
      <c r="K230" s="6">
        <f t="shared" si="1"/>
        <v>7.2888902441173498</v>
      </c>
      <c r="L230" s="1">
        <v>1.7661691542288558</v>
      </c>
      <c r="M230" s="2">
        <v>0.16139999999999999</v>
      </c>
      <c r="N230" s="6">
        <v>13.513804644064617</v>
      </c>
      <c r="O230" s="2">
        <v>127</v>
      </c>
      <c r="P230" s="2">
        <v>114</v>
      </c>
      <c r="Q230" s="1">
        <v>0.89763779527559051</v>
      </c>
      <c r="R230" s="1">
        <v>0.63144307341466421</v>
      </c>
      <c r="S230" s="1">
        <v>6.3576924327458803E-2</v>
      </c>
    </row>
    <row r="231" spans="1:19" x14ac:dyDescent="0.25">
      <c r="A231" s="6" t="s">
        <v>159</v>
      </c>
      <c r="B231" s="1" t="s">
        <v>72</v>
      </c>
      <c r="C231" s="4" t="s">
        <v>192</v>
      </c>
      <c r="D231" s="6" t="s">
        <v>430</v>
      </c>
      <c r="E231" s="6" t="s">
        <v>369</v>
      </c>
      <c r="F231" s="1" t="s">
        <v>3</v>
      </c>
      <c r="G231" s="6" t="s">
        <v>318</v>
      </c>
      <c r="H231" s="1">
        <v>37</v>
      </c>
      <c r="I231" s="2">
        <v>10.57</v>
      </c>
      <c r="J231" s="2">
        <v>6.06</v>
      </c>
      <c r="K231" s="6">
        <f t="shared" si="1"/>
        <v>7.2946883985910942</v>
      </c>
      <c r="L231" s="1">
        <v>1.7442244224422443</v>
      </c>
      <c r="M231" s="2">
        <v>0.1542</v>
      </c>
      <c r="N231" s="6">
        <v>13.188424258206606</v>
      </c>
      <c r="O231" s="2">
        <v>15</v>
      </c>
      <c r="P231" s="2">
        <v>0</v>
      </c>
      <c r="Q231" s="1">
        <v>0</v>
      </c>
      <c r="R231" s="1">
        <v>0.83140178392562203</v>
      </c>
      <c r="S231" s="1">
        <v>5.4702291094970143E-2</v>
      </c>
    </row>
    <row r="232" spans="1:19" x14ac:dyDescent="0.25">
      <c r="A232" s="6" t="s">
        <v>159</v>
      </c>
      <c r="B232" s="1" t="s">
        <v>24</v>
      </c>
      <c r="C232" s="4" t="s">
        <v>193</v>
      </c>
      <c r="D232" s="6" t="s">
        <v>438</v>
      </c>
      <c r="E232" s="6" t="s">
        <v>370</v>
      </c>
      <c r="F232" s="1" t="s">
        <v>3</v>
      </c>
      <c r="G232" s="6" t="s">
        <v>318</v>
      </c>
      <c r="H232" s="1">
        <v>39</v>
      </c>
      <c r="I232" s="2">
        <v>10.84</v>
      </c>
      <c r="J232" s="2">
        <v>6.13</v>
      </c>
      <c r="K232" s="6">
        <f t="shared" si="1"/>
        <v>7.4128192457960802</v>
      </c>
      <c r="L232" s="1">
        <v>1.7683523654159869</v>
      </c>
      <c r="M232" s="2">
        <v>0.16969999999999999</v>
      </c>
      <c r="N232" s="6">
        <v>13.51758989793105</v>
      </c>
      <c r="O232" s="2">
        <v>126</v>
      </c>
      <c r="P232" s="2">
        <v>100</v>
      </c>
      <c r="Q232" s="1">
        <v>0.79365079365079361</v>
      </c>
      <c r="R232" s="1">
        <v>0.68748464597658543</v>
      </c>
      <c r="S232" s="1">
        <v>3.4658810010839078E-2</v>
      </c>
    </row>
    <row r="233" spans="1:19" x14ac:dyDescent="0.25">
      <c r="A233" s="6" t="s">
        <v>159</v>
      </c>
      <c r="B233" s="1" t="s">
        <v>45</v>
      </c>
      <c r="C233" s="4" t="s">
        <v>194</v>
      </c>
      <c r="D233" s="6" t="s">
        <v>432</v>
      </c>
      <c r="E233" s="6" t="s">
        <v>365</v>
      </c>
      <c r="F233" s="1" t="s">
        <v>3</v>
      </c>
      <c r="G233" s="6" t="s">
        <v>318</v>
      </c>
      <c r="H233" s="1">
        <v>39</v>
      </c>
      <c r="I233" s="2">
        <v>10.42</v>
      </c>
      <c r="J233" s="2">
        <v>6.13</v>
      </c>
      <c r="K233" s="6">
        <f t="shared" si="1"/>
        <v>7.3158179427166257</v>
      </c>
      <c r="L233" s="1">
        <v>1.6998368678629689</v>
      </c>
      <c r="M233" s="2">
        <v>0.17319999999999999</v>
      </c>
      <c r="N233" s="6">
        <v>15.422718088627107</v>
      </c>
      <c r="O233" s="2">
        <v>68</v>
      </c>
      <c r="P233" s="2">
        <v>58</v>
      </c>
      <c r="Q233" s="1">
        <v>0.8529411764705882</v>
      </c>
      <c r="R233" s="1">
        <v>0.74960914510028176</v>
      </c>
      <c r="S233" s="1">
        <v>9.1374376564922602E-2</v>
      </c>
    </row>
    <row r="234" spans="1:19" x14ac:dyDescent="0.25">
      <c r="A234" s="6" t="s">
        <v>159</v>
      </c>
      <c r="B234" s="1" t="s">
        <v>72</v>
      </c>
      <c r="C234" s="4" t="s">
        <v>195</v>
      </c>
      <c r="D234" s="6" t="s">
        <v>439</v>
      </c>
      <c r="E234" s="6" t="s">
        <v>371</v>
      </c>
      <c r="F234" s="1" t="s">
        <v>3</v>
      </c>
      <c r="G234" s="6" t="s">
        <v>318</v>
      </c>
      <c r="H234" s="1">
        <v>38</v>
      </c>
      <c r="I234" s="2">
        <v>8.93</v>
      </c>
      <c r="J234" s="2">
        <v>5.66</v>
      </c>
      <c r="K234" s="6">
        <f t="shared" si="1"/>
        <v>6.5891304712306109</v>
      </c>
      <c r="L234" s="1">
        <v>1.57773851590106</v>
      </c>
      <c r="M234" s="2">
        <v>0.1142</v>
      </c>
      <c r="N234" s="6">
        <v>15.713212718970633</v>
      </c>
      <c r="O234" s="2">
        <v>50</v>
      </c>
      <c r="P234" s="2">
        <v>48</v>
      </c>
      <c r="Q234" s="1">
        <v>0.96</v>
      </c>
      <c r="R234" s="1">
        <v>0.71467429887968537</v>
      </c>
      <c r="S234" s="1">
        <v>5.1847232483214711E-2</v>
      </c>
    </row>
    <row r="235" spans="1:19" x14ac:dyDescent="0.25">
      <c r="A235" s="6" t="s">
        <v>159</v>
      </c>
      <c r="B235" s="1" t="s">
        <v>58</v>
      </c>
      <c r="C235" s="4" t="s">
        <v>289</v>
      </c>
      <c r="D235" s="6" t="s">
        <v>411</v>
      </c>
      <c r="E235" s="6" t="s">
        <v>379</v>
      </c>
      <c r="F235" s="1" t="s">
        <v>86</v>
      </c>
      <c r="G235" s="6" t="s">
        <v>316</v>
      </c>
      <c r="H235" s="1">
        <v>38</v>
      </c>
      <c r="I235" s="2">
        <v>11.64</v>
      </c>
      <c r="J235" s="2">
        <v>5.51</v>
      </c>
      <c r="K235" s="6">
        <f t="shared" si="1"/>
        <v>7.0699888032675267</v>
      </c>
      <c r="L235" s="1">
        <v>2.1125226860254087</v>
      </c>
      <c r="M235" s="2">
        <v>0.13350000000000001</v>
      </c>
      <c r="N235" s="6">
        <v>8.6994913618318535</v>
      </c>
      <c r="O235" s="2">
        <v>1</v>
      </c>
      <c r="P235" s="2">
        <v>0</v>
      </c>
      <c r="Q235" s="1">
        <v>0</v>
      </c>
      <c r="R235" s="1" t="s">
        <v>181</v>
      </c>
      <c r="S235" s="1" t="s">
        <v>181</v>
      </c>
    </row>
    <row r="236" spans="1:19" x14ac:dyDescent="0.25">
      <c r="A236" s="6" t="s">
        <v>159</v>
      </c>
      <c r="B236" s="1" t="s">
        <v>24</v>
      </c>
      <c r="C236" s="4" t="s">
        <v>196</v>
      </c>
      <c r="D236" s="6" t="s">
        <v>438</v>
      </c>
      <c r="E236" s="6" t="s">
        <v>370</v>
      </c>
      <c r="F236" s="1" t="s">
        <v>3</v>
      </c>
      <c r="G236" s="6" t="s">
        <v>318</v>
      </c>
      <c r="H236" s="1">
        <v>40</v>
      </c>
      <c r="I236" s="2">
        <v>11.54</v>
      </c>
      <c r="J236" s="2">
        <v>5.93</v>
      </c>
      <c r="K236" s="6">
        <f t="shared" si="1"/>
        <v>7.4035224647192166</v>
      </c>
      <c r="L236" s="1">
        <v>1.9460370994940979</v>
      </c>
      <c r="M236" s="2">
        <v>0.14710000000000001</v>
      </c>
      <c r="N236" s="6">
        <v>9.8218272619463747</v>
      </c>
      <c r="O236" s="2">
        <v>1</v>
      </c>
      <c r="P236" s="2">
        <v>0</v>
      </c>
      <c r="Q236" s="1">
        <v>0</v>
      </c>
      <c r="R236" s="1">
        <v>1.1076582029148858</v>
      </c>
      <c r="S236" s="1" t="s">
        <v>181</v>
      </c>
    </row>
    <row r="237" spans="1:19" x14ac:dyDescent="0.25">
      <c r="A237" s="6" t="s">
        <v>159</v>
      </c>
      <c r="B237" s="1" t="s">
        <v>24</v>
      </c>
      <c r="C237" s="4" t="s">
        <v>290</v>
      </c>
      <c r="D237" s="6" t="s">
        <v>413</v>
      </c>
      <c r="E237" s="6" t="s">
        <v>381</v>
      </c>
      <c r="F237" s="1" t="s">
        <v>86</v>
      </c>
      <c r="G237" s="6" t="s">
        <v>316</v>
      </c>
      <c r="H237" s="1">
        <v>44</v>
      </c>
      <c r="I237" s="2">
        <v>12.13</v>
      </c>
      <c r="J237" s="2">
        <v>6.31</v>
      </c>
      <c r="K237" s="6">
        <f t="shared" si="1"/>
        <v>7.8458470900117572</v>
      </c>
      <c r="L237" s="1">
        <v>1.9223454833597466</v>
      </c>
      <c r="M237" s="2">
        <v>0.1837</v>
      </c>
      <c r="N237" s="6">
        <v>10.65667442824804</v>
      </c>
      <c r="O237" s="2">
        <v>29</v>
      </c>
      <c r="P237" s="2">
        <v>0</v>
      </c>
      <c r="Q237" s="1">
        <v>0</v>
      </c>
      <c r="R237" s="1">
        <v>0.76587578737388218</v>
      </c>
      <c r="S237" s="1">
        <v>7.0817287773546039E-2</v>
      </c>
    </row>
    <row r="238" spans="1:19" x14ac:dyDescent="0.25">
      <c r="A238" s="6" t="s">
        <v>159</v>
      </c>
      <c r="B238" s="1" t="s">
        <v>58</v>
      </c>
      <c r="C238" s="4" t="s">
        <v>197</v>
      </c>
      <c r="D238" s="6" t="s">
        <v>434</v>
      </c>
      <c r="E238" s="6" t="s">
        <v>367</v>
      </c>
      <c r="F238" s="1" t="s">
        <v>3</v>
      </c>
      <c r="G238" s="6" t="s">
        <v>318</v>
      </c>
      <c r="H238" s="1">
        <v>44</v>
      </c>
      <c r="I238" s="2">
        <v>11.24</v>
      </c>
      <c r="J238" s="2">
        <v>6.52</v>
      </c>
      <c r="K238" s="6">
        <f t="shared" si="1"/>
        <v>7.8178470142612273</v>
      </c>
      <c r="L238" s="1">
        <v>1.7239263803680982</v>
      </c>
      <c r="M238" s="2">
        <v>0.16800000000000001</v>
      </c>
      <c r="N238" s="6">
        <v>12.082262974152831</v>
      </c>
      <c r="O238" s="2">
        <v>8</v>
      </c>
      <c r="P238" s="2">
        <v>5</v>
      </c>
      <c r="Q238" s="1">
        <v>0.625</v>
      </c>
      <c r="R238" s="1">
        <v>0.68949577115332883</v>
      </c>
      <c r="S238" s="1">
        <v>9.221448058537407E-2</v>
      </c>
    </row>
    <row r="239" spans="1:19" x14ac:dyDescent="0.25">
      <c r="A239" s="6" t="s">
        <v>159</v>
      </c>
      <c r="B239" s="1" t="s">
        <v>65</v>
      </c>
      <c r="C239" s="4" t="s">
        <v>186</v>
      </c>
      <c r="D239" s="6" t="s">
        <v>433</v>
      </c>
      <c r="E239" s="6" t="s">
        <v>366</v>
      </c>
      <c r="F239" s="1" t="s">
        <v>3</v>
      </c>
      <c r="G239" s="6" t="s">
        <v>318</v>
      </c>
      <c r="H239" s="1">
        <v>42</v>
      </c>
      <c r="I239" s="2">
        <v>11.77</v>
      </c>
      <c r="J239" s="2">
        <v>6.23</v>
      </c>
      <c r="K239" s="6">
        <f t="shared" si="1"/>
        <v>7.7016572190599089</v>
      </c>
      <c r="L239" s="1">
        <v>1.8892455858747992</v>
      </c>
      <c r="M239" s="2">
        <v>0.1744</v>
      </c>
      <c r="N239" s="6">
        <v>11.014298834758595</v>
      </c>
      <c r="O239" s="2">
        <v>123</v>
      </c>
      <c r="P239" s="2">
        <v>0</v>
      </c>
      <c r="Q239" s="1">
        <v>0</v>
      </c>
      <c r="R239" s="1">
        <v>0.72138954643454123</v>
      </c>
      <c r="S239" s="1">
        <v>3.3610642474307353E-2</v>
      </c>
    </row>
    <row r="240" spans="1:19" x14ac:dyDescent="0.25">
      <c r="A240" s="6" t="s">
        <v>159</v>
      </c>
      <c r="B240" s="1" t="s">
        <v>24</v>
      </c>
      <c r="C240" s="4" t="s">
        <v>198</v>
      </c>
      <c r="D240" s="6" t="s">
        <v>437</v>
      </c>
      <c r="E240" s="6" t="s">
        <v>368</v>
      </c>
      <c r="F240" s="1" t="s">
        <v>3</v>
      </c>
      <c r="G240" s="6" t="s">
        <v>318</v>
      </c>
      <c r="H240" s="1">
        <v>38</v>
      </c>
      <c r="I240" s="2">
        <v>10.29</v>
      </c>
      <c r="J240" s="2">
        <v>5.61</v>
      </c>
      <c r="K240" s="6">
        <f t="shared" si="1"/>
        <v>6.8672105912280177</v>
      </c>
      <c r="L240" s="1">
        <v>1.8342245989304811</v>
      </c>
      <c r="M240" s="2">
        <v>0.1303</v>
      </c>
      <c r="N240" s="6">
        <v>12.020791347210109</v>
      </c>
      <c r="O240" s="2">
        <v>9</v>
      </c>
      <c r="P240" s="2">
        <v>7</v>
      </c>
      <c r="Q240" s="1">
        <v>0.77777777777777779</v>
      </c>
      <c r="R240" s="1">
        <v>0.80808229116281816</v>
      </c>
      <c r="S240" s="1">
        <v>7.6255440064734711E-2</v>
      </c>
    </row>
    <row r="241" spans="1:19" x14ac:dyDescent="0.25">
      <c r="A241" s="6" t="s">
        <v>159</v>
      </c>
      <c r="B241" s="1" t="s">
        <v>45</v>
      </c>
      <c r="C241" s="4" t="s">
        <v>199</v>
      </c>
      <c r="D241" s="6" t="s">
        <v>440</v>
      </c>
      <c r="E241" s="6" t="s">
        <v>372</v>
      </c>
      <c r="F241" s="1" t="s">
        <v>3</v>
      </c>
      <c r="G241" s="6" t="s">
        <v>318</v>
      </c>
      <c r="H241" s="1">
        <v>37</v>
      </c>
      <c r="I241" s="2">
        <v>10.18</v>
      </c>
      <c r="J241" s="2">
        <v>4.99</v>
      </c>
      <c r="K241" s="6">
        <f t="shared" si="1"/>
        <v>6.3287259460349832</v>
      </c>
      <c r="L241" s="1">
        <v>2.0400801603206413</v>
      </c>
      <c r="M241" s="2">
        <v>0.1009</v>
      </c>
      <c r="N241" s="6">
        <v>9.5949437330120855</v>
      </c>
      <c r="O241" s="2">
        <v>0</v>
      </c>
      <c r="P241" s="2">
        <v>0</v>
      </c>
      <c r="Q241" s="1" t="s">
        <v>181</v>
      </c>
      <c r="R241" s="1" t="s">
        <v>181</v>
      </c>
      <c r="S241" s="1" t="s">
        <v>181</v>
      </c>
    </row>
    <row r="242" spans="1:19" x14ac:dyDescent="0.25">
      <c r="A242" s="6" t="s">
        <v>159</v>
      </c>
      <c r="B242" s="1" t="s">
        <v>24</v>
      </c>
      <c r="C242" s="4" t="s">
        <v>291</v>
      </c>
      <c r="D242" s="6" t="s">
        <v>436</v>
      </c>
      <c r="E242" s="6" t="s">
        <v>390</v>
      </c>
      <c r="F242" s="1" t="s">
        <v>86</v>
      </c>
      <c r="G242" s="6" t="s">
        <v>316</v>
      </c>
      <c r="H242" s="1">
        <v>40</v>
      </c>
      <c r="I242" s="2">
        <v>12.86</v>
      </c>
      <c r="J242" s="2">
        <v>6.55</v>
      </c>
      <c r="K242" s="6">
        <f t="shared" si="1"/>
        <v>8.2017750965724634</v>
      </c>
      <c r="L242" s="1">
        <v>1.9633587786259541</v>
      </c>
      <c r="M242" s="2">
        <v>0.21879999999999999</v>
      </c>
      <c r="N242" s="6">
        <v>10.764349403922591</v>
      </c>
      <c r="O242" s="2">
        <v>0</v>
      </c>
      <c r="P242" s="2">
        <v>0</v>
      </c>
      <c r="Q242" s="1" t="s">
        <v>181</v>
      </c>
      <c r="R242" s="1" t="s">
        <v>181</v>
      </c>
      <c r="S242" s="1" t="s">
        <v>181</v>
      </c>
    </row>
    <row r="243" spans="1:19" x14ac:dyDescent="0.25">
      <c r="A243" s="6" t="s">
        <v>159</v>
      </c>
      <c r="B243" s="1" t="s">
        <v>45</v>
      </c>
      <c r="C243" s="4" t="s">
        <v>200</v>
      </c>
      <c r="D243" s="6" t="s">
        <v>432</v>
      </c>
      <c r="E243" s="6" t="s">
        <v>365</v>
      </c>
      <c r="F243" s="1" t="s">
        <v>3</v>
      </c>
      <c r="G243" s="6" t="s">
        <v>318</v>
      </c>
      <c r="H243" s="1">
        <v>47</v>
      </c>
      <c r="I243" s="2">
        <v>13.65</v>
      </c>
      <c r="J243" s="2">
        <v>7.15</v>
      </c>
      <c r="K243" s="6">
        <f t="shared" si="1"/>
        <v>8.8698221466880511</v>
      </c>
      <c r="L243" s="1">
        <v>1.9090909090909089</v>
      </c>
      <c r="M243" s="2">
        <v>0.26369999999999999</v>
      </c>
      <c r="N243" s="6">
        <v>10.965692239440774</v>
      </c>
      <c r="O243" s="2">
        <v>4</v>
      </c>
      <c r="P243" s="2">
        <v>0</v>
      </c>
      <c r="Q243" s="1">
        <v>0</v>
      </c>
      <c r="R243" s="1">
        <v>0.79392947475289288</v>
      </c>
      <c r="S243" s="1">
        <v>0.26639774394319615</v>
      </c>
    </row>
    <row r="244" spans="1:19" x14ac:dyDescent="0.25">
      <c r="A244" s="6" t="s">
        <v>159</v>
      </c>
      <c r="B244" s="1" t="s">
        <v>79</v>
      </c>
      <c r="C244" s="4" t="s">
        <v>201</v>
      </c>
      <c r="D244" s="6" t="s">
        <v>418</v>
      </c>
      <c r="E244" s="6" t="s">
        <v>357</v>
      </c>
      <c r="F244" s="1" t="s">
        <v>3</v>
      </c>
      <c r="G244" s="6" t="s">
        <v>318</v>
      </c>
      <c r="H244" s="1">
        <v>48</v>
      </c>
      <c r="I244" s="2">
        <v>11.85</v>
      </c>
      <c r="J244" s="2">
        <v>6.51</v>
      </c>
      <c r="K244" s="6">
        <f t="shared" si="1"/>
        <v>7.9486512485855982</v>
      </c>
      <c r="L244" s="1">
        <v>1.8202764976958525</v>
      </c>
      <c r="M244" s="2">
        <v>0.20039999999999999</v>
      </c>
      <c r="N244" s="6">
        <v>12.416865281823176</v>
      </c>
      <c r="O244" s="2">
        <v>31</v>
      </c>
      <c r="P244" s="2">
        <v>13</v>
      </c>
      <c r="Q244" s="1">
        <v>0.41935483870967744</v>
      </c>
      <c r="R244" s="1">
        <v>0.60339290850943383</v>
      </c>
      <c r="S244" s="1">
        <v>5.7065562076729338E-2</v>
      </c>
    </row>
    <row r="245" spans="1:19" x14ac:dyDescent="0.25">
      <c r="A245" s="6" t="s">
        <v>159</v>
      </c>
      <c r="B245" s="1" t="s">
        <v>58</v>
      </c>
      <c r="C245" s="4" t="s">
        <v>202</v>
      </c>
      <c r="D245" s="6" t="s">
        <v>441</v>
      </c>
      <c r="E245" s="6" t="s">
        <v>373</v>
      </c>
      <c r="F245" s="1" t="s">
        <v>3</v>
      </c>
      <c r="G245" s="6" t="s">
        <v>318</v>
      </c>
      <c r="H245" s="1">
        <v>41</v>
      </c>
      <c r="I245" s="2">
        <v>9.3699999999999992</v>
      </c>
      <c r="J245" s="2">
        <v>4.9000000000000004</v>
      </c>
      <c r="K245" s="6">
        <f t="shared" si="1"/>
        <v>6.0819650057282475</v>
      </c>
      <c r="L245" s="1">
        <v>1.9122448979591833</v>
      </c>
      <c r="M245" s="2">
        <v>8.2000000000000003E-2</v>
      </c>
      <c r="N245" s="6">
        <v>9.8516325748288356</v>
      </c>
      <c r="O245" s="2">
        <v>7</v>
      </c>
      <c r="P245" s="2">
        <v>2</v>
      </c>
      <c r="Q245" s="1">
        <v>0.2857142857142857</v>
      </c>
      <c r="R245" s="1">
        <v>0.81762346214239934</v>
      </c>
      <c r="S245" s="1">
        <v>7.0920760710915132E-2</v>
      </c>
    </row>
    <row r="246" spans="1:19" x14ac:dyDescent="0.25">
      <c r="A246" s="6" t="s">
        <v>159</v>
      </c>
      <c r="B246" s="1" t="s">
        <v>4</v>
      </c>
      <c r="C246" s="4" t="s">
        <v>203</v>
      </c>
      <c r="D246" s="6" t="s">
        <v>442</v>
      </c>
      <c r="E246" s="6" t="s">
        <v>391</v>
      </c>
      <c r="F246" s="1" t="s">
        <v>3</v>
      </c>
      <c r="G246" s="6" t="s">
        <v>318</v>
      </c>
      <c r="H246" s="1">
        <v>46</v>
      </c>
      <c r="I246" s="2">
        <v>12.78</v>
      </c>
      <c r="J246" s="2">
        <v>7.15</v>
      </c>
      <c r="K246" s="6">
        <f t="shared" si="1"/>
        <v>8.6772274038004724</v>
      </c>
      <c r="L246" s="1">
        <v>1.7874125874125872</v>
      </c>
      <c r="M246" s="2">
        <v>0.20830000000000001</v>
      </c>
      <c r="N246" s="6">
        <v>10.42971070153399</v>
      </c>
      <c r="O246" s="2">
        <v>16</v>
      </c>
      <c r="P246" s="2">
        <v>0</v>
      </c>
      <c r="Q246" s="1">
        <v>0</v>
      </c>
      <c r="R246" s="1">
        <v>0.79922792049971081</v>
      </c>
      <c r="S246" s="1">
        <v>7.9294400125905495E-2</v>
      </c>
    </row>
    <row r="247" spans="1:19" x14ac:dyDescent="0.25">
      <c r="A247" s="6" t="s">
        <v>159</v>
      </c>
      <c r="B247" s="1" t="s">
        <v>4</v>
      </c>
      <c r="C247" s="4" t="s">
        <v>204</v>
      </c>
      <c r="D247" s="6" t="s">
        <v>442</v>
      </c>
      <c r="E247" s="6" t="s">
        <v>391</v>
      </c>
      <c r="F247" s="1" t="s">
        <v>3</v>
      </c>
      <c r="G247" s="6" t="s">
        <v>318</v>
      </c>
      <c r="H247" s="1">
        <v>47</v>
      </c>
      <c r="I247" s="2">
        <v>12.94</v>
      </c>
      <c r="J247" s="2">
        <v>7.02</v>
      </c>
      <c r="K247" s="6">
        <f t="shared" si="1"/>
        <v>8.6073507370775015</v>
      </c>
      <c r="L247" s="1">
        <v>1.8433048433048433</v>
      </c>
      <c r="M247" s="2">
        <v>0.23319999999999999</v>
      </c>
      <c r="N247" s="6">
        <v>11.273892433936973</v>
      </c>
      <c r="O247" s="2">
        <v>118</v>
      </c>
      <c r="P247" s="2">
        <v>104</v>
      </c>
      <c r="Q247" s="1">
        <v>0.88135593220338981</v>
      </c>
      <c r="R247" s="1">
        <v>0.6956526080891331</v>
      </c>
      <c r="S247" s="1">
        <v>4.3268302745922277E-2</v>
      </c>
    </row>
    <row r="248" spans="1:19" x14ac:dyDescent="0.25">
      <c r="A248" s="6" t="s">
        <v>159</v>
      </c>
      <c r="B248" s="1" t="s">
        <v>72</v>
      </c>
      <c r="C248" s="4" t="s">
        <v>205</v>
      </c>
      <c r="D248" s="6" t="s">
        <v>439</v>
      </c>
      <c r="E248" s="6" t="s">
        <v>371</v>
      </c>
      <c r="F248" s="1" t="s">
        <v>3</v>
      </c>
      <c r="G248" s="6" t="s">
        <v>318</v>
      </c>
      <c r="H248" s="1">
        <v>48</v>
      </c>
      <c r="I248" s="2">
        <v>12.05</v>
      </c>
      <c r="J248" s="2">
        <v>6.54</v>
      </c>
      <c r="K248" s="6">
        <f t="shared" si="1"/>
        <v>8.017657767563735</v>
      </c>
      <c r="L248" s="1">
        <v>1.8425076452599389</v>
      </c>
      <c r="M248" s="2">
        <v>0.20230000000000001</v>
      </c>
      <c r="N248" s="6">
        <v>11.956729672791237</v>
      </c>
      <c r="O248" s="2">
        <v>54</v>
      </c>
      <c r="P248" s="2">
        <v>1</v>
      </c>
      <c r="Q248" s="1">
        <v>1.8518518518518517E-2</v>
      </c>
      <c r="R248" s="1">
        <v>0.75068635242406989</v>
      </c>
      <c r="S248" s="1">
        <v>4.1621144744527182E-2</v>
      </c>
    </row>
    <row r="249" spans="1:19" x14ac:dyDescent="0.25">
      <c r="A249" s="6" t="s">
        <v>159</v>
      </c>
      <c r="B249" s="1" t="s">
        <v>31</v>
      </c>
      <c r="C249" s="4" t="s">
        <v>206</v>
      </c>
      <c r="D249" s="6" t="s">
        <v>428</v>
      </c>
      <c r="E249" s="6" t="s">
        <v>362</v>
      </c>
      <c r="F249" s="1" t="s">
        <v>3</v>
      </c>
      <c r="G249" s="6" t="s">
        <v>318</v>
      </c>
      <c r="H249" s="1">
        <v>48</v>
      </c>
      <c r="I249" s="2">
        <v>12.92</v>
      </c>
      <c r="J249" s="2">
        <v>7.43</v>
      </c>
      <c r="K249" s="6">
        <f t="shared" si="1"/>
        <v>8.9347014865759871</v>
      </c>
      <c r="L249" s="1">
        <v>1.7388963660834456</v>
      </c>
      <c r="M249" s="2">
        <v>0.2717</v>
      </c>
      <c r="N249" s="6">
        <v>13.192568258491027</v>
      </c>
      <c r="O249" s="2">
        <v>217</v>
      </c>
      <c r="P249" s="2">
        <v>202</v>
      </c>
      <c r="Q249" s="1">
        <v>0.93087557603686633</v>
      </c>
      <c r="R249" s="1">
        <v>0.64248917487074786</v>
      </c>
      <c r="S249" s="1">
        <v>4.2521569194579056E-2</v>
      </c>
    </row>
    <row r="250" spans="1:19" x14ac:dyDescent="0.25">
      <c r="A250" s="6" t="s">
        <v>159</v>
      </c>
      <c r="B250" s="1" t="s">
        <v>79</v>
      </c>
      <c r="C250" s="4" t="s">
        <v>207</v>
      </c>
      <c r="D250" s="6" t="s">
        <v>443</v>
      </c>
      <c r="E250" s="6" t="s">
        <v>374</v>
      </c>
      <c r="F250" s="1" t="s">
        <v>3</v>
      </c>
      <c r="G250" s="6" t="s">
        <v>318</v>
      </c>
      <c r="H250" s="1">
        <v>40</v>
      </c>
      <c r="I250" s="2">
        <v>12.42</v>
      </c>
      <c r="J250" s="2">
        <v>6.19</v>
      </c>
      <c r="K250" s="6">
        <f t="shared" si="1"/>
        <v>7.8073017424356106</v>
      </c>
      <c r="L250" s="1">
        <v>2.0064620355411953</v>
      </c>
      <c r="M250" s="2">
        <v>0.17899999999999999</v>
      </c>
      <c r="N250" s="6">
        <v>9.7147164865848286</v>
      </c>
      <c r="O250" s="2">
        <v>68</v>
      </c>
      <c r="P250" s="2">
        <v>59</v>
      </c>
      <c r="Q250" s="1">
        <v>0.86764705882352944</v>
      </c>
      <c r="R250" s="1">
        <v>0.67352838856643016</v>
      </c>
      <c r="S250" s="1">
        <v>6.1956886253539581E-2</v>
      </c>
    </row>
    <row r="251" spans="1:19" x14ac:dyDescent="0.25">
      <c r="A251" s="6" t="s">
        <v>159</v>
      </c>
      <c r="B251" s="1" t="s">
        <v>17</v>
      </c>
      <c r="C251" s="4" t="s">
        <v>208</v>
      </c>
      <c r="D251" s="6" t="s">
        <v>427</v>
      </c>
      <c r="E251" s="6" t="s">
        <v>361</v>
      </c>
      <c r="F251" s="1" t="s">
        <v>3</v>
      </c>
      <c r="G251" s="6" t="s">
        <v>318</v>
      </c>
      <c r="H251" s="1">
        <v>48</v>
      </c>
      <c r="I251" s="2">
        <v>12.85</v>
      </c>
      <c r="J251" s="2">
        <v>6.72</v>
      </c>
      <c r="K251" s="6">
        <f t="shared" si="1"/>
        <v>8.3409187608153559</v>
      </c>
      <c r="L251" s="1">
        <v>1.9122023809523809</v>
      </c>
      <c r="M251" s="2">
        <v>0.21890000000000001</v>
      </c>
      <c r="N251" s="6">
        <v>10.79291959193692</v>
      </c>
      <c r="O251" s="2">
        <v>106</v>
      </c>
      <c r="P251" s="2">
        <v>93</v>
      </c>
      <c r="Q251" s="1">
        <v>0.87735849056603776</v>
      </c>
      <c r="R251" s="1">
        <v>0.71375343920453049</v>
      </c>
      <c r="S251" s="1">
        <v>2.2202060934997891E-2</v>
      </c>
    </row>
    <row r="252" spans="1:19" x14ac:dyDescent="0.25">
      <c r="A252" s="6" t="s">
        <v>159</v>
      </c>
      <c r="B252" s="1" t="s">
        <v>4</v>
      </c>
      <c r="C252" s="4" t="s">
        <v>209</v>
      </c>
      <c r="D252" s="6" t="s">
        <v>442</v>
      </c>
      <c r="E252" s="6" t="s">
        <v>391</v>
      </c>
      <c r="F252" s="1" t="s">
        <v>3</v>
      </c>
      <c r="G252" s="6" t="s">
        <v>318</v>
      </c>
      <c r="H252" s="1">
        <v>47</v>
      </c>
      <c r="I252" s="2">
        <v>12</v>
      </c>
      <c r="J252" s="2">
        <v>6.52</v>
      </c>
      <c r="K252" s="6">
        <f t="shared" si="1"/>
        <v>7.9902213855407593</v>
      </c>
      <c r="L252" s="1">
        <v>1.8404907975460123</v>
      </c>
      <c r="M252" s="2">
        <v>0.21490000000000001</v>
      </c>
      <c r="N252" s="6">
        <v>12.851247913222881</v>
      </c>
      <c r="O252" s="2">
        <v>3</v>
      </c>
      <c r="P252" s="2">
        <v>0</v>
      </c>
      <c r="Q252" s="1">
        <v>0</v>
      </c>
      <c r="R252" s="1">
        <v>0.88657319166934867</v>
      </c>
      <c r="S252" s="1">
        <v>4.5894597229456845E-2</v>
      </c>
    </row>
    <row r="253" spans="1:19" x14ac:dyDescent="0.25">
      <c r="A253" s="6" t="s">
        <v>159</v>
      </c>
      <c r="B253" s="1" t="s">
        <v>65</v>
      </c>
      <c r="C253" s="4" t="s">
        <v>210</v>
      </c>
      <c r="D253" s="6" t="s">
        <v>433</v>
      </c>
      <c r="E253" s="6" t="s">
        <v>366</v>
      </c>
      <c r="F253" s="1" t="s">
        <v>3</v>
      </c>
      <c r="G253" s="6" t="s">
        <v>318</v>
      </c>
      <c r="H253" s="1">
        <v>47</v>
      </c>
      <c r="I253" s="2">
        <v>11.43</v>
      </c>
      <c r="J253" s="2">
        <v>6.48</v>
      </c>
      <c r="K253" s="6">
        <f t="shared" si="1"/>
        <v>7.8294648861414124</v>
      </c>
      <c r="L253" s="1">
        <v>1.7638888888888888</v>
      </c>
      <c r="M253" s="2">
        <v>0.1772</v>
      </c>
      <c r="N253" s="6">
        <v>12.155514559233199</v>
      </c>
      <c r="O253" s="2">
        <v>96</v>
      </c>
      <c r="P253" s="2">
        <v>74</v>
      </c>
      <c r="Q253" s="1">
        <v>0.77083333333333337</v>
      </c>
      <c r="R253" s="1">
        <v>0.74948625995551421</v>
      </c>
      <c r="S253" s="1">
        <v>5.2869107324157449E-2</v>
      </c>
    </row>
    <row r="254" spans="1:19" x14ac:dyDescent="0.25">
      <c r="A254" s="6" t="s">
        <v>159</v>
      </c>
      <c r="B254" s="1" t="s">
        <v>24</v>
      </c>
      <c r="C254" s="4" t="s">
        <v>211</v>
      </c>
      <c r="D254" s="6" t="s">
        <v>437</v>
      </c>
      <c r="E254" s="6" t="s">
        <v>368</v>
      </c>
      <c r="F254" s="1" t="s">
        <v>3</v>
      </c>
      <c r="G254" s="6" t="s">
        <v>318</v>
      </c>
      <c r="H254" s="1">
        <v>43</v>
      </c>
      <c r="I254" s="2">
        <v>12.3</v>
      </c>
      <c r="J254" s="2">
        <v>6.54</v>
      </c>
      <c r="K254" s="6">
        <f t="shared" si="1"/>
        <v>8.0727258242576578</v>
      </c>
      <c r="L254" s="1">
        <v>1.8807339449541285</v>
      </c>
      <c r="M254" s="2">
        <v>0.19</v>
      </c>
      <c r="N254" s="6">
        <v>10.597933417554238</v>
      </c>
      <c r="O254" s="2">
        <v>112</v>
      </c>
      <c r="P254" s="2">
        <v>130</v>
      </c>
      <c r="Q254" s="1">
        <v>1</v>
      </c>
      <c r="R254" s="1">
        <v>0.68559169489193095</v>
      </c>
      <c r="S254" s="1">
        <v>4.7704437767471838E-2</v>
      </c>
    </row>
    <row r="255" spans="1:19" x14ac:dyDescent="0.25">
      <c r="A255" s="6" t="s">
        <v>159</v>
      </c>
      <c r="B255" s="1" t="s">
        <v>24</v>
      </c>
      <c r="C255" s="4" t="s">
        <v>292</v>
      </c>
      <c r="D255" s="6" t="s">
        <v>436</v>
      </c>
      <c r="E255" s="6" t="s">
        <v>390</v>
      </c>
      <c r="F255" s="1" t="s">
        <v>86</v>
      </c>
      <c r="G255" s="6" t="s">
        <v>316</v>
      </c>
      <c r="H255" s="1">
        <v>43</v>
      </c>
      <c r="I255" s="2">
        <v>12.81</v>
      </c>
      <c r="J255" s="2">
        <v>6.25</v>
      </c>
      <c r="K255" s="6">
        <f t="shared" si="1"/>
        <v>7.939071650264963</v>
      </c>
      <c r="L255" s="1">
        <v>2.0495999999999999</v>
      </c>
      <c r="M255" s="2">
        <v>0.18529999999999999</v>
      </c>
      <c r="N255" s="6">
        <v>9.2169424000738207</v>
      </c>
      <c r="O255" s="2">
        <v>27</v>
      </c>
      <c r="P255" s="2">
        <v>25</v>
      </c>
      <c r="Q255" s="1">
        <v>0.92592592592592593</v>
      </c>
      <c r="R255" s="1">
        <v>0.7441439234969669</v>
      </c>
      <c r="S255" s="1">
        <v>9.4557057044227302E-2</v>
      </c>
    </row>
    <row r="256" spans="1:19" x14ac:dyDescent="0.25">
      <c r="A256" s="6" t="s">
        <v>159</v>
      </c>
      <c r="B256" s="1" t="s">
        <v>24</v>
      </c>
      <c r="C256" s="2" t="s">
        <v>293</v>
      </c>
      <c r="D256" s="6" t="s">
        <v>436</v>
      </c>
      <c r="E256" s="6" t="s">
        <v>390</v>
      </c>
      <c r="F256" s="1" t="s">
        <v>86</v>
      </c>
      <c r="G256" s="6" t="s">
        <v>316</v>
      </c>
      <c r="H256" s="1">
        <v>44</v>
      </c>
      <c r="I256" s="2">
        <v>13.32</v>
      </c>
      <c r="J256" s="2">
        <v>6.43</v>
      </c>
      <c r="K256" s="6">
        <f t="shared" si="1"/>
        <v>8.1967569368661</v>
      </c>
      <c r="L256" s="1">
        <v>2.0715396578538106</v>
      </c>
      <c r="M256" s="2">
        <v>0.219</v>
      </c>
      <c r="N256" s="6">
        <v>9.7575818011391355</v>
      </c>
      <c r="O256" s="2">
        <v>113</v>
      </c>
      <c r="P256" s="2">
        <v>121</v>
      </c>
      <c r="Q256" s="1">
        <v>1</v>
      </c>
      <c r="R256" s="1">
        <v>0.60963994729630133</v>
      </c>
      <c r="S256" s="1">
        <v>7.089441549716613E-2</v>
      </c>
    </row>
    <row r="257" spans="1:19" x14ac:dyDescent="0.25">
      <c r="A257" s="6" t="s">
        <v>159</v>
      </c>
      <c r="B257" s="1" t="s">
        <v>45</v>
      </c>
      <c r="C257" s="2" t="s">
        <v>212</v>
      </c>
      <c r="D257" s="6" t="s">
        <v>440</v>
      </c>
      <c r="E257" s="6" t="s">
        <v>372</v>
      </c>
      <c r="F257" s="1" t="s">
        <v>3</v>
      </c>
      <c r="G257" s="6" t="s">
        <v>318</v>
      </c>
      <c r="H257" s="1">
        <v>42</v>
      </c>
      <c r="I257" s="2">
        <v>11.37</v>
      </c>
      <c r="J257" s="2">
        <v>6.52</v>
      </c>
      <c r="K257" s="6">
        <f t="shared" si="1"/>
        <v>7.847871536748011</v>
      </c>
      <c r="L257" s="1">
        <v>1.7438650306748467</v>
      </c>
      <c r="M257" s="2">
        <v>0.21049999999999999</v>
      </c>
      <c r="N257" s="6">
        <v>14.655734531677137</v>
      </c>
      <c r="O257" s="2">
        <v>35</v>
      </c>
      <c r="P257" s="2">
        <v>21</v>
      </c>
      <c r="Q257" s="1">
        <v>0.6</v>
      </c>
      <c r="R257" s="1">
        <v>0.78874219799211143</v>
      </c>
      <c r="S257" s="1">
        <v>7.0323774461523672E-2</v>
      </c>
    </row>
    <row r="258" spans="1:19" x14ac:dyDescent="0.25">
      <c r="A258" s="6" t="s">
        <v>159</v>
      </c>
      <c r="B258" s="1" t="s">
        <v>4</v>
      </c>
      <c r="C258" s="2" t="s">
        <v>213</v>
      </c>
      <c r="D258" s="6" t="s">
        <v>442</v>
      </c>
      <c r="E258" s="6" t="s">
        <v>391</v>
      </c>
      <c r="F258" s="1" t="s">
        <v>3</v>
      </c>
      <c r="G258" s="6" t="s">
        <v>318</v>
      </c>
      <c r="H258" s="1">
        <v>49</v>
      </c>
      <c r="I258" s="2">
        <v>12.84</v>
      </c>
      <c r="J258" s="2">
        <v>7.26</v>
      </c>
      <c r="K258" s="6">
        <f t="shared" si="1"/>
        <v>8.7796948505324099</v>
      </c>
      <c r="L258" s="1">
        <v>1.7685950413223142</v>
      </c>
      <c r="M258" s="2">
        <v>0.25929999999999997</v>
      </c>
      <c r="N258" s="6">
        <v>12.812950544068336</v>
      </c>
      <c r="O258" s="2">
        <v>4</v>
      </c>
      <c r="P258" s="2">
        <v>0</v>
      </c>
      <c r="Q258" s="1">
        <v>0</v>
      </c>
      <c r="R258" s="1">
        <v>0.62043083094972762</v>
      </c>
      <c r="S258" s="1">
        <v>3.467298732566737E-2</v>
      </c>
    </row>
    <row r="259" spans="1:19" x14ac:dyDescent="0.25">
      <c r="A259" s="6" t="s">
        <v>159</v>
      </c>
      <c r="B259" s="1" t="s">
        <v>38</v>
      </c>
      <c r="C259" s="2" t="s">
        <v>214</v>
      </c>
      <c r="D259" s="6" t="s">
        <v>416</v>
      </c>
      <c r="E259" s="6" t="s">
        <v>355</v>
      </c>
      <c r="F259" s="1" t="s">
        <v>3</v>
      </c>
      <c r="G259" s="6" t="s">
        <v>318</v>
      </c>
      <c r="H259" s="1">
        <v>52</v>
      </c>
      <c r="I259" s="2">
        <v>13.38</v>
      </c>
      <c r="J259" s="2">
        <v>7</v>
      </c>
      <c r="K259" s="6">
        <f t="shared" ref="K259:K304" si="2">(I259*J259^2)^(1/3)</f>
        <v>8.6872849005624957</v>
      </c>
      <c r="L259" s="1">
        <v>1.9114285714285715</v>
      </c>
      <c r="M259" s="2">
        <v>0.26140000000000002</v>
      </c>
      <c r="N259" s="6">
        <v>11.500039799451118</v>
      </c>
      <c r="O259" s="2">
        <v>83</v>
      </c>
      <c r="P259" s="2">
        <v>66</v>
      </c>
      <c r="Q259" s="1">
        <v>0.79518072289156627</v>
      </c>
      <c r="R259" s="1">
        <v>0.6163614415893568</v>
      </c>
      <c r="S259" s="1">
        <v>4.8960979489147939E-2</v>
      </c>
    </row>
    <row r="260" spans="1:19" x14ac:dyDescent="0.25">
      <c r="A260" s="6" t="s">
        <v>159</v>
      </c>
      <c r="B260" s="1" t="s">
        <v>65</v>
      </c>
      <c r="C260" s="2" t="s">
        <v>215</v>
      </c>
      <c r="D260" s="6" t="s">
        <v>429</v>
      </c>
      <c r="E260" s="6" t="s">
        <v>363</v>
      </c>
      <c r="F260" s="1" t="s">
        <v>3</v>
      </c>
      <c r="G260" s="6" t="s">
        <v>318</v>
      </c>
      <c r="H260" s="1">
        <v>51</v>
      </c>
      <c r="I260" s="2">
        <v>13</v>
      </c>
      <c r="J260" s="2">
        <v>6.89</v>
      </c>
      <c r="K260" s="6">
        <f t="shared" si="2"/>
        <v>8.5138749169054453</v>
      </c>
      <c r="L260" s="1">
        <v>1.8867924528301887</v>
      </c>
      <c r="M260" s="2">
        <v>0.25290000000000001</v>
      </c>
      <c r="N260" s="6">
        <v>12.067813111411834</v>
      </c>
      <c r="O260" s="2">
        <v>29</v>
      </c>
      <c r="P260" s="2">
        <v>11</v>
      </c>
      <c r="Q260" s="1">
        <v>0.37931034482758619</v>
      </c>
      <c r="R260" s="1">
        <v>0.73009693361052297</v>
      </c>
      <c r="S260" s="1">
        <v>3.9362942872909881E-2</v>
      </c>
    </row>
    <row r="261" spans="1:19" x14ac:dyDescent="0.25">
      <c r="A261" s="6" t="s">
        <v>159</v>
      </c>
      <c r="B261" s="1" t="s">
        <v>65</v>
      </c>
      <c r="C261" s="2" t="s">
        <v>294</v>
      </c>
      <c r="D261" s="6" t="s">
        <v>431</v>
      </c>
      <c r="E261" s="6" t="s">
        <v>388</v>
      </c>
      <c r="F261" s="1" t="s">
        <v>86</v>
      </c>
      <c r="G261" s="6" t="s">
        <v>316</v>
      </c>
      <c r="H261" s="1">
        <v>53</v>
      </c>
      <c r="I261" s="2">
        <v>14.83</v>
      </c>
      <c r="J261" s="2">
        <v>7.42</v>
      </c>
      <c r="K261" s="6">
        <f t="shared" si="2"/>
        <v>9.346513849958253</v>
      </c>
      <c r="L261" s="1">
        <v>1.9986522911051212</v>
      </c>
      <c r="M261" s="2">
        <v>0.31190000000000001</v>
      </c>
      <c r="N261" s="6">
        <v>10.265907076512818</v>
      </c>
      <c r="O261" s="2">
        <v>3</v>
      </c>
      <c r="P261" s="2">
        <v>0</v>
      </c>
      <c r="Q261" s="1">
        <v>0</v>
      </c>
      <c r="R261" s="1">
        <v>0.8014096367333835</v>
      </c>
      <c r="S261" s="1" t="s">
        <v>181</v>
      </c>
    </row>
    <row r="262" spans="1:19" x14ac:dyDescent="0.25">
      <c r="A262" s="6" t="s">
        <v>159</v>
      </c>
      <c r="B262" s="1" t="s">
        <v>79</v>
      </c>
      <c r="C262" s="2" t="s">
        <v>216</v>
      </c>
      <c r="D262" s="6" t="s">
        <v>418</v>
      </c>
      <c r="E262" s="6" t="s">
        <v>357</v>
      </c>
      <c r="F262" s="1" t="s">
        <v>3</v>
      </c>
      <c r="G262" s="6" t="s">
        <v>318</v>
      </c>
      <c r="H262" s="1">
        <v>54</v>
      </c>
      <c r="I262" s="2">
        <v>13.91</v>
      </c>
      <c r="J262" s="2">
        <v>7.34</v>
      </c>
      <c r="K262" s="6">
        <f t="shared" si="2"/>
        <v>9.0832182599305806</v>
      </c>
      <c r="L262" s="1">
        <v>1.8950953678474114</v>
      </c>
      <c r="M262" s="2">
        <v>0.307</v>
      </c>
      <c r="N262" s="6">
        <v>12.104751241279214</v>
      </c>
      <c r="O262" s="2">
        <v>68</v>
      </c>
      <c r="P262" s="2">
        <v>56</v>
      </c>
      <c r="Q262" s="1">
        <v>0.82352941176470584</v>
      </c>
      <c r="R262" s="1">
        <v>0.68675476383043854</v>
      </c>
      <c r="S262" s="1">
        <v>8.0761401566892765E-2</v>
      </c>
    </row>
    <row r="263" spans="1:19" x14ac:dyDescent="0.25">
      <c r="A263" s="6" t="s">
        <v>159</v>
      </c>
      <c r="B263" s="1" t="s">
        <v>58</v>
      </c>
      <c r="C263" s="2" t="s">
        <v>217</v>
      </c>
      <c r="D263" s="6" t="s">
        <v>441</v>
      </c>
      <c r="E263" s="6" t="s">
        <v>373</v>
      </c>
      <c r="F263" s="1" t="s">
        <v>3</v>
      </c>
      <c r="G263" s="6" t="s">
        <v>318</v>
      </c>
      <c r="H263" s="1">
        <v>47</v>
      </c>
      <c r="I263" s="2">
        <v>11.1</v>
      </c>
      <c r="J263" s="2">
        <v>5.64</v>
      </c>
      <c r="K263" s="6">
        <f t="shared" si="2"/>
        <v>7.0679542371237485</v>
      </c>
      <c r="L263" s="1">
        <v>1.9680851063829787</v>
      </c>
      <c r="M263" s="2">
        <v>0.1421</v>
      </c>
      <c r="N263" s="6">
        <v>10.58725266741714</v>
      </c>
      <c r="O263" s="2">
        <v>8</v>
      </c>
      <c r="P263" s="2">
        <v>1</v>
      </c>
      <c r="Q263" s="1">
        <v>0.125</v>
      </c>
      <c r="R263" s="1">
        <v>0.85329682121349604</v>
      </c>
      <c r="S263" s="1">
        <v>0.10483696852376601</v>
      </c>
    </row>
    <row r="264" spans="1:19" x14ac:dyDescent="0.25">
      <c r="A264" s="6" t="s">
        <v>159</v>
      </c>
      <c r="B264" s="1" t="s">
        <v>72</v>
      </c>
      <c r="C264" s="2" t="s">
        <v>218</v>
      </c>
      <c r="D264" s="6" t="s">
        <v>430</v>
      </c>
      <c r="E264" s="6" t="s">
        <v>364</v>
      </c>
      <c r="F264" s="1" t="s">
        <v>3</v>
      </c>
      <c r="G264" s="6" t="s">
        <v>318</v>
      </c>
      <c r="H264" s="1">
        <v>52</v>
      </c>
      <c r="I264" s="2">
        <v>13.82</v>
      </c>
      <c r="J264" s="2">
        <v>7.45</v>
      </c>
      <c r="K264" s="6">
        <f t="shared" si="2"/>
        <v>9.1539147352447383</v>
      </c>
      <c r="L264" s="1">
        <v>1.8550335570469798</v>
      </c>
      <c r="M264" s="2">
        <v>0.307</v>
      </c>
      <c r="N264" s="6">
        <v>12.328370968675614</v>
      </c>
      <c r="O264" s="2">
        <v>72</v>
      </c>
      <c r="P264" s="2">
        <v>41</v>
      </c>
      <c r="Q264" s="1">
        <v>0.56944444444444442</v>
      </c>
      <c r="R264" s="1">
        <v>0.68873535503578975</v>
      </c>
      <c r="S264" s="1">
        <v>7.7639500616420512E-2</v>
      </c>
    </row>
    <row r="265" spans="1:19" x14ac:dyDescent="0.25">
      <c r="A265" s="6" t="s">
        <v>159</v>
      </c>
      <c r="B265" s="1" t="s">
        <v>79</v>
      </c>
      <c r="C265" s="2" t="s">
        <v>219</v>
      </c>
      <c r="D265" s="6" t="s">
        <v>443</v>
      </c>
      <c r="E265" s="6" t="s">
        <v>374</v>
      </c>
      <c r="F265" s="1" t="s">
        <v>3</v>
      </c>
      <c r="G265" s="6" t="s">
        <v>318</v>
      </c>
      <c r="H265" s="1">
        <v>45</v>
      </c>
      <c r="I265" s="2">
        <v>13.09</v>
      </c>
      <c r="J265" s="2">
        <v>6.58</v>
      </c>
      <c r="K265" s="6">
        <f t="shared" si="2"/>
        <v>8.2755552899060429</v>
      </c>
      <c r="L265" s="1">
        <v>1.9893617021276595</v>
      </c>
      <c r="M265" s="2">
        <v>0.1913</v>
      </c>
      <c r="N265" s="6">
        <v>8.9525172552926975</v>
      </c>
      <c r="O265" s="2">
        <v>80</v>
      </c>
      <c r="P265" s="2">
        <v>62</v>
      </c>
      <c r="Q265" s="1">
        <v>0.77500000000000002</v>
      </c>
      <c r="R265" s="1">
        <v>0.74026480935011241</v>
      </c>
      <c r="S265" s="1">
        <v>9.3696992473248808E-2</v>
      </c>
    </row>
    <row r="266" spans="1:19" x14ac:dyDescent="0.25">
      <c r="A266" s="6" t="s">
        <v>159</v>
      </c>
      <c r="B266" s="1" t="s">
        <v>72</v>
      </c>
      <c r="C266" s="2" t="s">
        <v>220</v>
      </c>
      <c r="D266" s="6" t="s">
        <v>439</v>
      </c>
      <c r="E266" s="6" t="s">
        <v>371</v>
      </c>
      <c r="F266" s="1" t="s">
        <v>3</v>
      </c>
      <c r="G266" s="6" t="s">
        <v>318</v>
      </c>
      <c r="H266" s="1">
        <v>54</v>
      </c>
      <c r="I266" s="2">
        <v>13.39</v>
      </c>
      <c r="J266" s="2">
        <v>7.34</v>
      </c>
      <c r="K266" s="6">
        <f t="shared" si="2"/>
        <v>8.9685912726950239</v>
      </c>
      <c r="L266" s="1">
        <v>1.8242506811989101</v>
      </c>
      <c r="M266" s="2">
        <v>0.27250000000000002</v>
      </c>
      <c r="N266" s="6">
        <v>11.963142597429302</v>
      </c>
      <c r="O266" s="2">
        <v>3</v>
      </c>
      <c r="P266" s="2">
        <v>0</v>
      </c>
      <c r="Q266" s="1">
        <v>0</v>
      </c>
      <c r="R266" s="1">
        <v>0.78269966596214458</v>
      </c>
      <c r="S266" s="1" t="s">
        <v>181</v>
      </c>
    </row>
    <row r="267" spans="1:19" x14ac:dyDescent="0.25">
      <c r="A267" s="6" t="s">
        <v>159</v>
      </c>
      <c r="B267" s="1" t="s">
        <v>31</v>
      </c>
      <c r="C267" s="2" t="s">
        <v>221</v>
      </c>
      <c r="D267" s="6" t="s">
        <v>428</v>
      </c>
      <c r="E267" s="6" t="s">
        <v>375</v>
      </c>
      <c r="F267" s="1" t="s">
        <v>3</v>
      </c>
      <c r="G267" s="6" t="s">
        <v>318</v>
      </c>
      <c r="H267" s="1">
        <v>55</v>
      </c>
      <c r="I267" s="2">
        <v>13.35</v>
      </c>
      <c r="J267" s="2">
        <v>7.33</v>
      </c>
      <c r="K267" s="6">
        <f t="shared" si="2"/>
        <v>8.9515121400796982</v>
      </c>
      <c r="L267" s="1">
        <v>1.821282401091405</v>
      </c>
      <c r="M267" s="2">
        <v>0.29970000000000002</v>
      </c>
      <c r="N267" s="6">
        <v>13.268736622929376</v>
      </c>
      <c r="O267" s="2">
        <v>182</v>
      </c>
      <c r="P267" s="2">
        <v>159</v>
      </c>
      <c r="Q267" s="1">
        <v>0.87362637362637363</v>
      </c>
      <c r="R267" s="1">
        <v>0.59544390489840615</v>
      </c>
      <c r="S267" s="1">
        <v>3.6683831203661831E-2</v>
      </c>
    </row>
    <row r="268" spans="1:19" x14ac:dyDescent="0.25">
      <c r="A268" s="6" t="s">
        <v>159</v>
      </c>
      <c r="B268" s="1" t="s">
        <v>24</v>
      </c>
      <c r="C268" s="2" t="s">
        <v>222</v>
      </c>
      <c r="D268" s="6" t="s">
        <v>437</v>
      </c>
      <c r="E268" s="6" t="s">
        <v>368</v>
      </c>
      <c r="F268" s="1" t="s">
        <v>3</v>
      </c>
      <c r="G268" s="6" t="s">
        <v>318</v>
      </c>
      <c r="H268" s="1">
        <v>50</v>
      </c>
      <c r="I268" s="2">
        <v>11.21</v>
      </c>
      <c r="J268" s="2">
        <v>5.86</v>
      </c>
      <c r="K268" s="6">
        <f t="shared" si="2"/>
        <v>7.274451982983182</v>
      </c>
      <c r="L268" s="1">
        <v>1.9129692832764507</v>
      </c>
      <c r="M268" s="2">
        <v>0.1522</v>
      </c>
      <c r="N268" s="6">
        <v>11.028763527271957</v>
      </c>
      <c r="O268" s="2">
        <v>33</v>
      </c>
      <c r="P268" s="2">
        <v>28</v>
      </c>
      <c r="Q268" s="1">
        <v>0.84848484848484851</v>
      </c>
      <c r="R268" s="1">
        <v>0.6420863439416078</v>
      </c>
      <c r="S268" s="1">
        <v>4.865209199831301E-2</v>
      </c>
    </row>
    <row r="269" spans="1:19" x14ac:dyDescent="0.25">
      <c r="A269" s="6" t="s">
        <v>159</v>
      </c>
      <c r="B269" s="1" t="s">
        <v>65</v>
      </c>
      <c r="C269" s="2" t="s">
        <v>223</v>
      </c>
      <c r="D269" s="6" t="s">
        <v>433</v>
      </c>
      <c r="E269" s="6" t="s">
        <v>366</v>
      </c>
      <c r="F269" s="1" t="s">
        <v>3</v>
      </c>
      <c r="G269" s="6" t="s">
        <v>318</v>
      </c>
      <c r="H269" s="1">
        <v>55</v>
      </c>
      <c r="I269" s="2">
        <v>13.29</v>
      </c>
      <c r="J269" s="2">
        <v>6.91</v>
      </c>
      <c r="K269" s="6">
        <f t="shared" si="2"/>
        <v>8.5933076156892838</v>
      </c>
      <c r="L269" s="1">
        <v>1.923299565846599</v>
      </c>
      <c r="M269" s="2">
        <v>0.26129999999999998</v>
      </c>
      <c r="N269" s="6">
        <v>11.716528775225898</v>
      </c>
      <c r="O269" s="2">
        <v>9</v>
      </c>
      <c r="P269" s="2">
        <v>0</v>
      </c>
      <c r="Q269" s="1">
        <v>0</v>
      </c>
      <c r="R269" s="1">
        <v>0.80099025206877694</v>
      </c>
      <c r="S269" s="1">
        <v>0.1175090067380451</v>
      </c>
    </row>
    <row r="270" spans="1:19" x14ac:dyDescent="0.25">
      <c r="A270" s="6" t="s">
        <v>159</v>
      </c>
      <c r="B270" s="1" t="s">
        <v>38</v>
      </c>
      <c r="C270" s="2" t="s">
        <v>224</v>
      </c>
      <c r="D270" s="6" t="s">
        <v>423</v>
      </c>
      <c r="E270" s="6" t="s">
        <v>359</v>
      </c>
      <c r="F270" s="1" t="s">
        <v>3</v>
      </c>
      <c r="G270" s="6" t="s">
        <v>318</v>
      </c>
      <c r="H270" s="1">
        <v>56</v>
      </c>
      <c r="I270" s="2">
        <v>13.51</v>
      </c>
      <c r="J270" s="2">
        <v>7.23</v>
      </c>
      <c r="K270" s="6">
        <f t="shared" si="2"/>
        <v>8.9052062246407981</v>
      </c>
      <c r="L270" s="1">
        <v>1.8686030428769016</v>
      </c>
      <c r="M270" s="2">
        <v>0.26590000000000003</v>
      </c>
      <c r="N270" s="6">
        <v>11.383354296763898</v>
      </c>
      <c r="O270" s="2">
        <v>1</v>
      </c>
      <c r="P270" s="2">
        <v>0</v>
      </c>
      <c r="Q270" s="1">
        <v>0</v>
      </c>
      <c r="R270" s="1">
        <v>0.76472926810331499</v>
      </c>
      <c r="S270" s="1" t="s">
        <v>181</v>
      </c>
    </row>
    <row r="271" spans="1:19" x14ac:dyDescent="0.25">
      <c r="A271" s="6" t="s">
        <v>159</v>
      </c>
      <c r="B271" s="2" t="s">
        <v>45</v>
      </c>
      <c r="C271" s="2" t="s">
        <v>225</v>
      </c>
      <c r="D271" s="6" t="s">
        <v>432</v>
      </c>
      <c r="E271" s="6" t="s">
        <v>365</v>
      </c>
      <c r="F271" s="1" t="s">
        <v>3</v>
      </c>
      <c r="G271" s="6" t="s">
        <v>318</v>
      </c>
      <c r="H271" s="1">
        <v>59</v>
      </c>
      <c r="I271" s="2">
        <v>13.17</v>
      </c>
      <c r="J271" s="2">
        <v>7.44</v>
      </c>
      <c r="K271" s="6">
        <f t="shared" si="2"/>
        <v>9.0000284443545464</v>
      </c>
      <c r="L271" s="2">
        <v>1.7701612903225805</v>
      </c>
      <c r="M271" s="2">
        <v>0.28460000000000002</v>
      </c>
      <c r="N271" s="6">
        <v>13.09190997757495</v>
      </c>
      <c r="O271" s="2">
        <v>158</v>
      </c>
      <c r="P271" s="2">
        <v>105</v>
      </c>
      <c r="Q271" s="1">
        <v>0.66455696202531644</v>
      </c>
      <c r="R271" s="1">
        <v>0.73744947882601863</v>
      </c>
      <c r="S271" s="1">
        <v>4.8223405900234224E-2</v>
      </c>
    </row>
    <row r="272" spans="1:19" x14ac:dyDescent="0.25">
      <c r="A272" s="6" t="s">
        <v>159</v>
      </c>
      <c r="B272" s="2" t="s">
        <v>17</v>
      </c>
      <c r="C272" s="2" t="s">
        <v>295</v>
      </c>
      <c r="D272" s="6" t="s">
        <v>444</v>
      </c>
      <c r="E272" s="6" t="s">
        <v>392</v>
      </c>
      <c r="F272" s="1" t="s">
        <v>86</v>
      </c>
      <c r="G272" s="6" t="s">
        <v>316</v>
      </c>
      <c r="H272" s="1">
        <v>31</v>
      </c>
      <c r="I272" s="2">
        <v>10.51</v>
      </c>
      <c r="J272" s="2">
        <v>5.0199999999999996</v>
      </c>
      <c r="K272" s="6">
        <f t="shared" si="2"/>
        <v>6.4219962865741245</v>
      </c>
      <c r="L272" s="2">
        <v>2.093625498007968</v>
      </c>
      <c r="M272" s="2">
        <v>8.2799999999999999E-2</v>
      </c>
      <c r="N272" s="6">
        <v>7.1963234902498829</v>
      </c>
      <c r="O272" s="2">
        <v>67</v>
      </c>
      <c r="P272" s="2">
        <v>58</v>
      </c>
      <c r="Q272" s="1">
        <v>0.86567164179104472</v>
      </c>
      <c r="R272" s="1">
        <v>0.60957748802571143</v>
      </c>
      <c r="S272" s="1">
        <v>3.7258001514818E-2</v>
      </c>
    </row>
    <row r="273" spans="1:19" x14ac:dyDescent="0.25">
      <c r="A273" s="6" t="s">
        <v>159</v>
      </c>
      <c r="B273" s="2" t="s">
        <v>65</v>
      </c>
      <c r="C273" s="2" t="s">
        <v>210</v>
      </c>
      <c r="D273" s="6" t="s">
        <v>433</v>
      </c>
      <c r="E273" s="6" t="s">
        <v>366</v>
      </c>
      <c r="F273" s="1" t="s">
        <v>3</v>
      </c>
      <c r="G273" s="6" t="s">
        <v>318</v>
      </c>
      <c r="H273" s="1">
        <v>58</v>
      </c>
      <c r="I273" s="2">
        <v>13.36</v>
      </c>
      <c r="J273" s="2">
        <v>6.55</v>
      </c>
      <c r="K273" s="6">
        <f t="shared" si="2"/>
        <v>8.3067221876414212</v>
      </c>
      <c r="L273" s="2">
        <v>2.0396946564885496</v>
      </c>
      <c r="M273" s="2">
        <v>0.22700000000000001</v>
      </c>
      <c r="N273" s="6">
        <v>10.028861766818121</v>
      </c>
      <c r="O273" s="2">
        <v>76</v>
      </c>
      <c r="P273" s="2">
        <v>0</v>
      </c>
      <c r="Q273" s="1">
        <v>0</v>
      </c>
      <c r="R273" s="1">
        <v>0.78646096538507426</v>
      </c>
      <c r="S273" s="1">
        <v>6.1459143311521622E-2</v>
      </c>
    </row>
    <row r="274" spans="1:19" x14ac:dyDescent="0.25">
      <c r="A274" s="6" t="s">
        <v>159</v>
      </c>
      <c r="B274" s="2" t="s">
        <v>38</v>
      </c>
      <c r="C274" s="2" t="s">
        <v>184</v>
      </c>
      <c r="D274" s="6" t="s">
        <v>416</v>
      </c>
      <c r="E274" s="6" t="s">
        <v>355</v>
      </c>
      <c r="F274" s="1" t="s">
        <v>3</v>
      </c>
      <c r="G274" s="6" t="s">
        <v>318</v>
      </c>
      <c r="H274" s="1">
        <v>60</v>
      </c>
      <c r="I274" s="2">
        <v>13.19</v>
      </c>
      <c r="J274" s="2">
        <v>6.72</v>
      </c>
      <c r="K274" s="6">
        <f t="shared" si="2"/>
        <v>8.4138438384347332</v>
      </c>
      <c r="L274" s="2">
        <v>1.9627976190476191</v>
      </c>
      <c r="M274" s="2">
        <v>0.2374</v>
      </c>
      <c r="N274" s="6">
        <v>10.874026603540962</v>
      </c>
      <c r="O274" s="2">
        <v>0</v>
      </c>
      <c r="P274" s="2">
        <v>0</v>
      </c>
      <c r="Q274" s="1" t="s">
        <v>181</v>
      </c>
      <c r="R274" s="1" t="s">
        <v>181</v>
      </c>
      <c r="S274" s="1" t="s">
        <v>181</v>
      </c>
    </row>
    <row r="275" spans="1:19" x14ac:dyDescent="0.25">
      <c r="A275" s="6" t="s">
        <v>159</v>
      </c>
      <c r="B275" s="2" t="s">
        <v>4</v>
      </c>
      <c r="C275" s="2" t="s">
        <v>226</v>
      </c>
      <c r="D275" s="6" t="s">
        <v>435</v>
      </c>
      <c r="E275" s="6" t="s">
        <v>389</v>
      </c>
      <c r="F275" s="1" t="s">
        <v>3</v>
      </c>
      <c r="G275" s="6" t="s">
        <v>318</v>
      </c>
      <c r="H275" s="1">
        <v>51</v>
      </c>
      <c r="I275" s="2">
        <v>14.26</v>
      </c>
      <c r="J275" s="2">
        <v>7.73</v>
      </c>
      <c r="K275" s="6">
        <f t="shared" si="2"/>
        <v>9.4803892927663647</v>
      </c>
      <c r="L275" s="2">
        <v>1.8447606727037515</v>
      </c>
      <c r="M275" s="2">
        <v>0.30220000000000002</v>
      </c>
      <c r="N275" s="6">
        <v>11.109062190880874</v>
      </c>
      <c r="O275" s="2">
        <v>7</v>
      </c>
      <c r="P275" s="2">
        <v>0</v>
      </c>
      <c r="Q275" s="1">
        <v>0</v>
      </c>
      <c r="R275" s="1">
        <v>0.94927730238404673</v>
      </c>
      <c r="S275" s="1">
        <v>9.3940786629991224E-2</v>
      </c>
    </row>
    <row r="276" spans="1:19" x14ac:dyDescent="0.25">
      <c r="A276" s="6" t="s">
        <v>159</v>
      </c>
      <c r="B276" s="2" t="s">
        <v>31</v>
      </c>
      <c r="C276" s="2" t="s">
        <v>296</v>
      </c>
      <c r="D276" s="6" t="s">
        <v>445</v>
      </c>
      <c r="E276" s="6" t="s">
        <v>376</v>
      </c>
      <c r="F276" s="1" t="s">
        <v>86</v>
      </c>
      <c r="G276" s="6" t="s">
        <v>316</v>
      </c>
      <c r="H276" s="1">
        <v>32</v>
      </c>
      <c r="I276" s="2">
        <v>9.57</v>
      </c>
      <c r="J276" s="2">
        <v>4.71</v>
      </c>
      <c r="K276" s="6">
        <f t="shared" si="2"/>
        <v>5.9655604477639921</v>
      </c>
      <c r="L276" s="2">
        <v>2.031847133757962</v>
      </c>
      <c r="M276" s="2">
        <v>9.0200000000000002E-2</v>
      </c>
      <c r="N276" s="6">
        <v>10.210214664752513</v>
      </c>
      <c r="O276" s="2">
        <v>26</v>
      </c>
      <c r="P276" s="2">
        <v>16</v>
      </c>
      <c r="Q276" s="1">
        <v>0.61538461538461542</v>
      </c>
      <c r="R276" s="1">
        <v>0.68183269512451927</v>
      </c>
      <c r="S276" s="1">
        <v>5.4590432170062833E-2</v>
      </c>
    </row>
    <row r="277" spans="1:19" x14ac:dyDescent="0.25">
      <c r="A277" s="6" t="s">
        <v>159</v>
      </c>
      <c r="B277" s="2" t="s">
        <v>31</v>
      </c>
      <c r="C277" s="2" t="s">
        <v>297</v>
      </c>
      <c r="D277" s="6" t="s">
        <v>446</v>
      </c>
      <c r="E277" s="6" t="s">
        <v>393</v>
      </c>
      <c r="F277" s="1" t="s">
        <v>86</v>
      </c>
      <c r="G277" s="6" t="s">
        <v>316</v>
      </c>
      <c r="H277" s="1">
        <v>31</v>
      </c>
      <c r="I277" s="2">
        <v>10.18</v>
      </c>
      <c r="J277" s="2">
        <v>5.56</v>
      </c>
      <c r="K277" s="6">
        <f t="shared" si="2"/>
        <v>6.8019346283153839</v>
      </c>
      <c r="L277" s="2">
        <v>1.8309352517985613</v>
      </c>
      <c r="M277" s="2">
        <v>0.1129</v>
      </c>
      <c r="N277" s="6">
        <v>10.736066872716199</v>
      </c>
      <c r="O277" s="2">
        <v>95</v>
      </c>
      <c r="P277" s="2">
        <v>17</v>
      </c>
      <c r="Q277" s="1">
        <v>0.17894736842105263</v>
      </c>
      <c r="R277" s="1">
        <v>0.68401664397115347</v>
      </c>
      <c r="S277" s="1">
        <v>4.5318622461060207E-2</v>
      </c>
    </row>
    <row r="278" spans="1:19" x14ac:dyDescent="0.25">
      <c r="A278" s="6" t="s">
        <v>159</v>
      </c>
      <c r="B278" s="2" t="s">
        <v>45</v>
      </c>
      <c r="C278" s="2" t="s">
        <v>227</v>
      </c>
      <c r="D278" s="6" t="s">
        <v>440</v>
      </c>
      <c r="E278" s="6" t="s">
        <v>372</v>
      </c>
      <c r="F278" s="1" t="s">
        <v>3</v>
      </c>
      <c r="G278" s="6" t="s">
        <v>318</v>
      </c>
      <c r="H278" s="1">
        <v>52</v>
      </c>
      <c r="I278" s="2">
        <v>13.36</v>
      </c>
      <c r="J278" s="2">
        <v>7.49</v>
      </c>
      <c r="K278" s="6">
        <f t="shared" si="2"/>
        <v>9.083572730291408</v>
      </c>
      <c r="L278" s="2">
        <v>1.7837116154873163</v>
      </c>
      <c r="M278" s="2">
        <v>0.29360000000000003</v>
      </c>
      <c r="N278" s="6">
        <v>12.97125028518855</v>
      </c>
      <c r="O278" s="2">
        <v>21</v>
      </c>
      <c r="P278" s="2">
        <v>0</v>
      </c>
      <c r="Q278" s="1">
        <v>0</v>
      </c>
      <c r="R278" s="1">
        <v>0.88992671637720377</v>
      </c>
      <c r="S278" s="1">
        <v>0.13359158484281161</v>
      </c>
    </row>
    <row r="279" spans="1:19" x14ac:dyDescent="0.25">
      <c r="A279" s="6" t="s">
        <v>159</v>
      </c>
      <c r="B279" s="2" t="s">
        <v>31</v>
      </c>
      <c r="C279" s="2" t="s">
        <v>298</v>
      </c>
      <c r="D279" s="6" t="s">
        <v>445</v>
      </c>
      <c r="E279" s="6" t="s">
        <v>376</v>
      </c>
      <c r="F279" s="1" t="s">
        <v>86</v>
      </c>
      <c r="G279" s="6" t="s">
        <v>316</v>
      </c>
      <c r="H279" s="1">
        <v>34</v>
      </c>
      <c r="I279" s="2">
        <v>9.31</v>
      </c>
      <c r="J279" s="2">
        <v>5.27</v>
      </c>
      <c r="K279" s="6">
        <f t="shared" si="2"/>
        <v>6.3707461992651107</v>
      </c>
      <c r="L279" s="2">
        <v>1.7666034155597725</v>
      </c>
      <c r="M279" s="2">
        <v>0.1048</v>
      </c>
      <c r="N279" s="6">
        <v>12.821037849322671</v>
      </c>
      <c r="O279" s="2">
        <v>135</v>
      </c>
      <c r="P279" s="2">
        <v>72</v>
      </c>
      <c r="Q279" s="1">
        <v>0.53333333333333333</v>
      </c>
      <c r="R279" s="1">
        <v>0.62493684265454219</v>
      </c>
      <c r="S279" s="1">
        <v>6.2470828361616285E-2</v>
      </c>
    </row>
    <row r="280" spans="1:19" x14ac:dyDescent="0.25">
      <c r="A280" s="6" t="s">
        <v>159</v>
      </c>
      <c r="B280" s="2" t="s">
        <v>24</v>
      </c>
      <c r="C280" s="2" t="s">
        <v>228</v>
      </c>
      <c r="D280" s="6" t="s">
        <v>438</v>
      </c>
      <c r="E280" s="6" t="s">
        <v>370</v>
      </c>
      <c r="F280" s="1" t="s">
        <v>3</v>
      </c>
      <c r="G280" s="6" t="s">
        <v>318</v>
      </c>
      <c r="H280" s="1">
        <v>63</v>
      </c>
      <c r="I280" s="2">
        <v>13.29</v>
      </c>
      <c r="J280" s="2">
        <v>8.48</v>
      </c>
      <c r="K280" s="6">
        <f t="shared" si="2"/>
        <v>9.8500604357823125</v>
      </c>
      <c r="L280" s="2">
        <v>1.5672169811320753</v>
      </c>
      <c r="M280" s="2">
        <v>0.41570000000000001</v>
      </c>
      <c r="N280" s="6">
        <v>18.639728327062404</v>
      </c>
      <c r="O280" s="2">
        <v>2</v>
      </c>
      <c r="P280" s="2">
        <v>0</v>
      </c>
      <c r="Q280" s="1">
        <v>0</v>
      </c>
      <c r="R280" s="1">
        <v>1.0187412424345057</v>
      </c>
      <c r="S280" s="1">
        <v>3.1741708569710543E-2</v>
      </c>
    </row>
    <row r="281" spans="1:19" x14ac:dyDescent="0.25">
      <c r="A281" s="6" t="s">
        <v>159</v>
      </c>
      <c r="B281" s="2" t="s">
        <v>31</v>
      </c>
      <c r="C281" s="2" t="s">
        <v>299</v>
      </c>
      <c r="D281" s="6" t="s">
        <v>446</v>
      </c>
      <c r="E281" s="6" t="s">
        <v>393</v>
      </c>
      <c r="F281" s="1" t="s">
        <v>86</v>
      </c>
      <c r="G281" s="6" t="s">
        <v>316</v>
      </c>
      <c r="H281" s="1">
        <v>35</v>
      </c>
      <c r="I281" s="2">
        <v>8.7100000000000009</v>
      </c>
      <c r="J281" s="2">
        <v>4.66</v>
      </c>
      <c r="K281" s="6">
        <f t="shared" si="2"/>
        <v>5.7402392790781338</v>
      </c>
      <c r="L281" s="2">
        <v>1.8690987124463521</v>
      </c>
      <c r="M281" s="2">
        <v>7.2099999999999997E-2</v>
      </c>
      <c r="N281" s="6">
        <v>10.643490273035711</v>
      </c>
      <c r="O281" s="2">
        <v>69</v>
      </c>
      <c r="P281" s="2">
        <v>78</v>
      </c>
      <c r="Q281" s="1">
        <v>1</v>
      </c>
      <c r="R281" s="1">
        <v>0.60773470283700159</v>
      </c>
      <c r="S281" s="1">
        <v>6.3275520320277751E-2</v>
      </c>
    </row>
    <row r="282" spans="1:19" x14ac:dyDescent="0.25">
      <c r="A282" s="6" t="s">
        <v>159</v>
      </c>
      <c r="B282" s="2" t="s">
        <v>31</v>
      </c>
      <c r="C282" s="2" t="s">
        <v>300</v>
      </c>
      <c r="D282" s="6" t="s">
        <v>446</v>
      </c>
      <c r="E282" s="6" t="s">
        <v>393</v>
      </c>
      <c r="F282" s="1" t="s">
        <v>86</v>
      </c>
      <c r="G282" s="6" t="s">
        <v>316</v>
      </c>
      <c r="H282" s="1">
        <v>35</v>
      </c>
      <c r="I282" s="2">
        <v>10.87</v>
      </c>
      <c r="J282" s="2">
        <v>5.16</v>
      </c>
      <c r="K282" s="6">
        <f t="shared" si="2"/>
        <v>6.6146923378144358</v>
      </c>
      <c r="L282" s="2">
        <v>2.1065891472868215</v>
      </c>
      <c r="M282" s="2">
        <v>0.121</v>
      </c>
      <c r="N282" s="6">
        <v>9.5635262882046277</v>
      </c>
      <c r="O282" s="2">
        <v>113</v>
      </c>
      <c r="P282" s="2">
        <v>94</v>
      </c>
      <c r="Q282" s="1">
        <v>0.83185840707964598</v>
      </c>
      <c r="R282" s="1">
        <v>0.57637302352117636</v>
      </c>
      <c r="S282" s="1">
        <v>4.0076667167357471E-2</v>
      </c>
    </row>
    <row r="283" spans="1:19" x14ac:dyDescent="0.25">
      <c r="A283" s="6" t="s">
        <v>159</v>
      </c>
      <c r="B283" s="2" t="s">
        <v>79</v>
      </c>
      <c r="C283" s="2" t="s">
        <v>301</v>
      </c>
      <c r="D283" s="6" t="s">
        <v>447</v>
      </c>
      <c r="E283" s="6" t="s">
        <v>394</v>
      </c>
      <c r="F283" s="1" t="s">
        <v>86</v>
      </c>
      <c r="G283" s="6" t="s">
        <v>316</v>
      </c>
      <c r="H283" s="1">
        <v>34</v>
      </c>
      <c r="I283" s="2">
        <v>10.220000000000001</v>
      </c>
      <c r="J283" s="2">
        <v>5.12</v>
      </c>
      <c r="K283" s="6">
        <f t="shared" si="2"/>
        <v>6.4465933014544303</v>
      </c>
      <c r="L283" s="2">
        <v>1.99609375</v>
      </c>
      <c r="M283" s="2">
        <v>0.1046</v>
      </c>
      <c r="N283" s="6">
        <v>9.8373960975563239</v>
      </c>
      <c r="O283" s="2">
        <v>91</v>
      </c>
      <c r="P283" s="2">
        <v>85</v>
      </c>
      <c r="Q283" s="1">
        <v>0.93406593406593408</v>
      </c>
      <c r="R283" s="1">
        <v>0.61965961943515668</v>
      </c>
      <c r="S283" s="1">
        <v>3.9736156323867268E-2</v>
      </c>
    </row>
    <row r="284" spans="1:19" x14ac:dyDescent="0.25">
      <c r="A284" s="6" t="s">
        <v>159</v>
      </c>
      <c r="B284" s="2" t="s">
        <v>17</v>
      </c>
      <c r="C284" s="2" t="s">
        <v>302</v>
      </c>
      <c r="D284" s="6" t="s">
        <v>444</v>
      </c>
      <c r="E284" s="6" t="s">
        <v>392</v>
      </c>
      <c r="F284" s="1" t="s">
        <v>86</v>
      </c>
      <c r="G284" s="6" t="s">
        <v>316</v>
      </c>
      <c r="H284" s="1">
        <v>37</v>
      </c>
      <c r="I284" s="2">
        <v>10.39</v>
      </c>
      <c r="J284" s="2">
        <v>5.31</v>
      </c>
      <c r="K284" s="6">
        <f t="shared" si="2"/>
        <v>6.641530884923184</v>
      </c>
      <c r="L284" s="2">
        <v>1.9566854990583806</v>
      </c>
      <c r="M284" s="2">
        <v>0.10440000000000001</v>
      </c>
      <c r="N284" s="6">
        <v>9.3722670461868915</v>
      </c>
      <c r="O284" s="2">
        <v>66</v>
      </c>
      <c r="P284" s="2">
        <v>64</v>
      </c>
      <c r="Q284" s="1">
        <v>0.96969696969696972</v>
      </c>
      <c r="R284" s="1">
        <v>0.63272301516810914</v>
      </c>
      <c r="S284" s="1">
        <v>9.0888839994063067E-2</v>
      </c>
    </row>
    <row r="285" spans="1:19" x14ac:dyDescent="0.25">
      <c r="A285" s="6" t="s">
        <v>159</v>
      </c>
      <c r="B285" s="2" t="s">
        <v>79</v>
      </c>
      <c r="C285" s="2" t="s">
        <v>229</v>
      </c>
      <c r="D285" s="6" t="s">
        <v>443</v>
      </c>
      <c r="E285" s="6" t="s">
        <v>374</v>
      </c>
      <c r="F285" s="1" t="s">
        <v>3</v>
      </c>
      <c r="G285" s="6" t="s">
        <v>318</v>
      </c>
      <c r="H285" s="1">
        <v>57</v>
      </c>
      <c r="I285" s="2">
        <v>14.59</v>
      </c>
      <c r="J285" s="2">
        <v>7.65</v>
      </c>
      <c r="K285" s="6">
        <f t="shared" si="2"/>
        <v>9.4869378191781859</v>
      </c>
      <c r="L285" s="2">
        <v>1.90718954248366</v>
      </c>
      <c r="M285" s="2">
        <v>0.3367</v>
      </c>
      <c r="N285" s="6">
        <v>11.603985922142456</v>
      </c>
      <c r="O285" s="2">
        <v>91</v>
      </c>
      <c r="P285" s="2">
        <v>75</v>
      </c>
      <c r="Q285" s="1">
        <v>0.82417582417582413</v>
      </c>
      <c r="R285" s="1">
        <v>0.70487801156974117</v>
      </c>
      <c r="S285" s="1">
        <v>7.5474191259728624E-2</v>
      </c>
    </row>
    <row r="286" spans="1:19" x14ac:dyDescent="0.25">
      <c r="A286" s="6" t="s">
        <v>159</v>
      </c>
      <c r="B286" s="2" t="s">
        <v>4</v>
      </c>
      <c r="C286" s="2" t="s">
        <v>230</v>
      </c>
      <c r="D286" s="6" t="s">
        <v>435</v>
      </c>
      <c r="E286" s="6" t="s">
        <v>389</v>
      </c>
      <c r="F286" s="1" t="s">
        <v>3</v>
      </c>
      <c r="G286" s="6" t="s">
        <v>318</v>
      </c>
      <c r="H286" s="1">
        <v>57</v>
      </c>
      <c r="I286" s="2">
        <v>14.2</v>
      </c>
      <c r="J286" s="2">
        <v>7.42</v>
      </c>
      <c r="K286" s="6">
        <f t="shared" si="2"/>
        <v>9.212242994547962</v>
      </c>
      <c r="L286" s="2">
        <v>1.9137466307277626</v>
      </c>
      <c r="M286" s="2">
        <v>0.31380000000000002</v>
      </c>
      <c r="N286" s="6">
        <v>11.673465606562297</v>
      </c>
      <c r="O286" s="2">
        <v>28</v>
      </c>
      <c r="P286" s="2">
        <v>5</v>
      </c>
      <c r="Q286" s="1">
        <v>0.17857142857142858</v>
      </c>
      <c r="R286" s="1">
        <v>0.72325240521630763</v>
      </c>
      <c r="S286" s="1">
        <v>8.824136629645217E-2</v>
      </c>
    </row>
    <row r="287" spans="1:19" x14ac:dyDescent="0.25">
      <c r="A287" s="6" t="s">
        <v>159</v>
      </c>
      <c r="B287" s="2" t="s">
        <v>31</v>
      </c>
      <c r="C287" s="2" t="s">
        <v>303</v>
      </c>
      <c r="D287" s="6" t="s">
        <v>445</v>
      </c>
      <c r="E287" s="6" t="s">
        <v>376</v>
      </c>
      <c r="F287" s="1" t="s">
        <v>86</v>
      </c>
      <c r="G287" s="6" t="s">
        <v>316</v>
      </c>
      <c r="H287" s="1">
        <v>38</v>
      </c>
      <c r="I287" s="2">
        <v>10.74</v>
      </c>
      <c r="J287" s="2">
        <v>5.59</v>
      </c>
      <c r="K287" s="6">
        <f t="shared" si="2"/>
        <v>6.949325152285506</v>
      </c>
      <c r="L287" s="2">
        <v>1.9212880143112703</v>
      </c>
      <c r="M287" s="2">
        <v>0.12959999999999999</v>
      </c>
      <c r="N287" s="6">
        <v>10.596755845463724</v>
      </c>
      <c r="O287" s="2">
        <v>56</v>
      </c>
      <c r="P287" s="2">
        <v>0</v>
      </c>
      <c r="Q287" s="1">
        <v>0</v>
      </c>
      <c r="R287" s="1">
        <v>0.70054793307478269</v>
      </c>
      <c r="S287" s="1">
        <v>0.11731985401465002</v>
      </c>
    </row>
    <row r="288" spans="1:19" x14ac:dyDescent="0.25">
      <c r="A288" s="6" t="s">
        <v>159</v>
      </c>
      <c r="B288" s="2" t="s">
        <v>31</v>
      </c>
      <c r="C288" s="2" t="s">
        <v>231</v>
      </c>
      <c r="D288" s="6" t="s">
        <v>417</v>
      </c>
      <c r="E288" s="6" t="s">
        <v>356</v>
      </c>
      <c r="F288" s="1" t="s">
        <v>3</v>
      </c>
      <c r="G288" s="6" t="s">
        <v>318</v>
      </c>
      <c r="H288" s="1">
        <v>67</v>
      </c>
      <c r="I288" s="2">
        <v>15.63</v>
      </c>
      <c r="J288" s="2">
        <v>8.89</v>
      </c>
      <c r="K288" s="6">
        <f t="shared" si="2"/>
        <v>10.729698039005152</v>
      </c>
      <c r="L288" s="2">
        <v>1.7581552305961754</v>
      </c>
      <c r="M288" s="2">
        <v>0.50890000000000002</v>
      </c>
      <c r="N288" s="6">
        <v>14.44335656484844</v>
      </c>
      <c r="O288" s="2">
        <v>44</v>
      </c>
      <c r="P288" s="2">
        <v>0</v>
      </c>
      <c r="Q288" s="1">
        <v>0</v>
      </c>
      <c r="R288" s="1">
        <v>0.84625099763271872</v>
      </c>
      <c r="S288" s="1">
        <v>0.10866753954922291</v>
      </c>
    </row>
    <row r="289" spans="1:19" x14ac:dyDescent="0.25">
      <c r="A289" s="6" t="s">
        <v>159</v>
      </c>
      <c r="B289" s="2" t="s">
        <v>31</v>
      </c>
      <c r="C289" s="2" t="s">
        <v>304</v>
      </c>
      <c r="D289" s="6" t="s">
        <v>446</v>
      </c>
      <c r="E289" s="6" t="s">
        <v>393</v>
      </c>
      <c r="F289" s="1" t="s">
        <v>86</v>
      </c>
      <c r="G289" s="6" t="s">
        <v>316</v>
      </c>
      <c r="H289" s="1">
        <v>38</v>
      </c>
      <c r="I289" s="2">
        <v>10.42</v>
      </c>
      <c r="J289" s="2">
        <v>5.75</v>
      </c>
      <c r="K289" s="6">
        <f t="shared" si="2"/>
        <v>7.010265550382198</v>
      </c>
      <c r="L289" s="2">
        <v>1.8121739130434782</v>
      </c>
      <c r="M289" s="2">
        <v>0.14410000000000001</v>
      </c>
      <c r="N289" s="6">
        <v>12.831487740018281</v>
      </c>
      <c r="O289" s="2">
        <v>60</v>
      </c>
      <c r="P289" s="2">
        <v>0</v>
      </c>
      <c r="Q289" s="1">
        <v>0</v>
      </c>
      <c r="R289" s="1">
        <v>0.63463294240628598</v>
      </c>
      <c r="S289" s="1">
        <v>5.7524422169078736E-2</v>
      </c>
    </row>
    <row r="290" spans="1:19" x14ac:dyDescent="0.25">
      <c r="A290" s="6" t="s">
        <v>159</v>
      </c>
      <c r="B290" s="2" t="s">
        <v>45</v>
      </c>
      <c r="C290" s="2" t="s">
        <v>232</v>
      </c>
      <c r="D290" s="6" t="s">
        <v>440</v>
      </c>
      <c r="E290" s="6" t="s">
        <v>372</v>
      </c>
      <c r="F290" s="1" t="s">
        <v>3</v>
      </c>
      <c r="G290" s="6" t="s">
        <v>318</v>
      </c>
      <c r="H290" s="1">
        <v>60</v>
      </c>
      <c r="I290" s="2">
        <v>13.84</v>
      </c>
      <c r="J290" s="2">
        <v>7.72</v>
      </c>
      <c r="K290" s="6">
        <f t="shared" si="2"/>
        <v>9.3782879598519173</v>
      </c>
      <c r="L290" s="2">
        <v>1.7927461139896372</v>
      </c>
      <c r="M290" s="2">
        <v>0.32419999999999999</v>
      </c>
      <c r="N290" s="6">
        <v>12.966096107764457</v>
      </c>
      <c r="O290" s="2">
        <v>121</v>
      </c>
      <c r="P290" s="2">
        <v>122</v>
      </c>
      <c r="Q290" s="1">
        <v>1</v>
      </c>
      <c r="R290" s="1">
        <v>0.61635600879618857</v>
      </c>
      <c r="S290" s="1">
        <v>0.161549150251104</v>
      </c>
    </row>
    <row r="291" spans="1:19" x14ac:dyDescent="0.25">
      <c r="A291" s="6" t="s">
        <v>159</v>
      </c>
      <c r="B291" s="2" t="s">
        <v>79</v>
      </c>
      <c r="C291" s="2" t="s">
        <v>305</v>
      </c>
      <c r="D291" s="6" t="s">
        <v>447</v>
      </c>
      <c r="E291" s="6" t="s">
        <v>394</v>
      </c>
      <c r="F291" s="1" t="s">
        <v>86</v>
      </c>
      <c r="G291" s="6" t="s">
        <v>316</v>
      </c>
      <c r="H291" s="1">
        <v>38</v>
      </c>
      <c r="I291" s="2">
        <v>10.41</v>
      </c>
      <c r="J291" s="2">
        <v>5.15</v>
      </c>
      <c r="K291" s="6">
        <f t="shared" si="2"/>
        <v>6.5116102161039517</v>
      </c>
      <c r="L291" s="2">
        <v>2.021359223300971</v>
      </c>
      <c r="M291" s="2">
        <v>0.10489999999999999</v>
      </c>
      <c r="N291" s="6">
        <v>9.3662216479099669</v>
      </c>
      <c r="O291" s="2">
        <v>51</v>
      </c>
      <c r="P291" s="2">
        <v>23</v>
      </c>
      <c r="Q291" s="1">
        <v>0.45098039215686275</v>
      </c>
      <c r="R291" s="1">
        <v>0.66321220993283236</v>
      </c>
      <c r="S291" s="1">
        <v>3.3480905472190695E-2</v>
      </c>
    </row>
    <row r="292" spans="1:19" x14ac:dyDescent="0.25">
      <c r="A292" s="6" t="s">
        <v>159</v>
      </c>
      <c r="B292" s="2" t="s">
        <v>17</v>
      </c>
      <c r="C292" s="2" t="s">
        <v>306</v>
      </c>
      <c r="D292" s="6" t="s">
        <v>444</v>
      </c>
      <c r="E292" s="6" t="s">
        <v>392</v>
      </c>
      <c r="F292" s="1" t="s">
        <v>86</v>
      </c>
      <c r="G292" s="6" t="s">
        <v>316</v>
      </c>
      <c r="H292" s="1">
        <v>41</v>
      </c>
      <c r="I292" s="2">
        <v>11.24</v>
      </c>
      <c r="J292" s="2">
        <v>5.65</v>
      </c>
      <c r="K292" s="6">
        <f t="shared" si="2"/>
        <v>7.1059323559055159</v>
      </c>
      <c r="L292" s="2">
        <v>1.9893805309734511</v>
      </c>
      <c r="M292" s="2">
        <v>0.13639999999999999</v>
      </c>
      <c r="N292" s="6">
        <v>9.809646843300273</v>
      </c>
      <c r="O292" s="2">
        <v>123</v>
      </c>
      <c r="P292" s="2">
        <v>0</v>
      </c>
      <c r="Q292" s="1">
        <v>0</v>
      </c>
      <c r="R292" s="1">
        <v>0.57014961761444205</v>
      </c>
      <c r="S292" s="1">
        <v>9.0961356288291662E-2</v>
      </c>
    </row>
    <row r="293" spans="1:19" x14ac:dyDescent="0.25">
      <c r="A293" s="6" t="s">
        <v>159</v>
      </c>
      <c r="B293" s="2" t="s">
        <v>58</v>
      </c>
      <c r="C293" s="2" t="s">
        <v>233</v>
      </c>
      <c r="D293" s="6" t="s">
        <v>441</v>
      </c>
      <c r="E293" s="6" t="s">
        <v>373</v>
      </c>
      <c r="F293" s="1" t="s">
        <v>3</v>
      </c>
      <c r="G293" s="6" t="s">
        <v>318</v>
      </c>
      <c r="H293" s="1">
        <v>67</v>
      </c>
      <c r="I293" s="2">
        <v>12.24</v>
      </c>
      <c r="J293" s="2">
        <v>6.81</v>
      </c>
      <c r="K293" s="6">
        <f t="shared" si="2"/>
        <v>8.2799023302908807</v>
      </c>
      <c r="L293" s="2">
        <v>1.7973568281938328</v>
      </c>
      <c r="M293" s="2">
        <v>0.2293</v>
      </c>
      <c r="N293" s="6">
        <v>12.967625402714162</v>
      </c>
      <c r="O293" s="2">
        <v>99</v>
      </c>
      <c r="P293" s="2">
        <v>0</v>
      </c>
      <c r="Q293" s="1">
        <v>0</v>
      </c>
      <c r="R293" s="1">
        <v>0.58756597225160356</v>
      </c>
      <c r="S293" s="1">
        <v>9.2296333600307895E-2</v>
      </c>
    </row>
    <row r="294" spans="1:19" x14ac:dyDescent="0.25">
      <c r="A294" s="6" t="s">
        <v>159</v>
      </c>
      <c r="B294" s="2" t="s">
        <v>17</v>
      </c>
      <c r="C294" s="2" t="s">
        <v>307</v>
      </c>
      <c r="D294" s="6" t="s">
        <v>444</v>
      </c>
      <c r="E294" s="6" t="s">
        <v>392</v>
      </c>
      <c r="F294" s="1" t="s">
        <v>86</v>
      </c>
      <c r="G294" s="6" t="s">
        <v>316</v>
      </c>
      <c r="H294" s="1">
        <v>46</v>
      </c>
      <c r="I294" s="2">
        <v>11.05</v>
      </c>
      <c r="J294" s="2">
        <v>5.82</v>
      </c>
      <c r="K294" s="6">
        <f t="shared" si="2"/>
        <v>7.2066940059810722</v>
      </c>
      <c r="L294" s="2">
        <v>1.8986254295532647</v>
      </c>
      <c r="M294" s="2">
        <v>0.1232</v>
      </c>
      <c r="N294" s="6">
        <v>9.2967057175781758</v>
      </c>
      <c r="O294" s="2">
        <v>14</v>
      </c>
      <c r="P294" s="2">
        <v>0</v>
      </c>
      <c r="Q294" s="1">
        <v>0</v>
      </c>
      <c r="R294" s="1">
        <v>0.66848338345036296</v>
      </c>
      <c r="S294" s="1">
        <v>0.13520626867900484</v>
      </c>
    </row>
    <row r="295" spans="1:19" x14ac:dyDescent="0.25">
      <c r="A295" s="6" t="s">
        <v>159</v>
      </c>
      <c r="B295" s="2" t="s">
        <v>31</v>
      </c>
      <c r="C295" s="2" t="s">
        <v>308</v>
      </c>
      <c r="D295" s="6" t="s">
        <v>445</v>
      </c>
      <c r="E295" s="6" t="s">
        <v>376</v>
      </c>
      <c r="F295" s="1" t="s">
        <v>86</v>
      </c>
      <c r="G295" s="6" t="s">
        <v>316</v>
      </c>
      <c r="H295" s="1">
        <v>47</v>
      </c>
      <c r="I295" s="2">
        <v>12.05</v>
      </c>
      <c r="J295" s="2">
        <v>6.24</v>
      </c>
      <c r="K295" s="6">
        <f t="shared" si="2"/>
        <v>7.77055565660954</v>
      </c>
      <c r="L295" s="2">
        <v>1.9310897435897436</v>
      </c>
      <c r="M295" s="2">
        <v>0.1676</v>
      </c>
      <c r="N295" s="6">
        <v>9.9058225069689154</v>
      </c>
      <c r="O295" s="2">
        <v>37</v>
      </c>
      <c r="P295" s="2">
        <v>0</v>
      </c>
      <c r="Q295" s="1">
        <v>0</v>
      </c>
      <c r="R295" s="1">
        <v>0.72107758670169575</v>
      </c>
      <c r="S295" s="1">
        <v>8.2494903516401888E-2</v>
      </c>
    </row>
    <row r="296" spans="1:19" x14ac:dyDescent="0.25">
      <c r="A296" s="6" t="s">
        <v>159</v>
      </c>
      <c r="B296" s="2" t="s">
        <v>38</v>
      </c>
      <c r="C296" s="2" t="s">
        <v>309</v>
      </c>
      <c r="D296" s="6" t="s">
        <v>448</v>
      </c>
      <c r="E296" s="6" t="s">
        <v>395</v>
      </c>
      <c r="F296" s="1" t="s">
        <v>86</v>
      </c>
      <c r="G296" s="6" t="s">
        <v>316</v>
      </c>
      <c r="H296" s="1">
        <v>47</v>
      </c>
      <c r="I296" s="2">
        <v>11.61</v>
      </c>
      <c r="J296" s="2">
        <v>6.34</v>
      </c>
      <c r="K296" s="6">
        <f t="shared" si="2"/>
        <v>7.7565794477577166</v>
      </c>
      <c r="L296" s="2">
        <v>1.8312302839116719</v>
      </c>
      <c r="M296" s="2">
        <v>0.17649999999999999</v>
      </c>
      <c r="N296" s="6">
        <v>11.585581857757742</v>
      </c>
      <c r="O296" s="2">
        <v>19</v>
      </c>
      <c r="P296" s="2">
        <v>0</v>
      </c>
      <c r="Q296" s="1">
        <v>0</v>
      </c>
      <c r="R296" s="1">
        <v>0.85414133853557617</v>
      </c>
      <c r="S296" s="1">
        <v>4.7651828157532342E-2</v>
      </c>
    </row>
    <row r="297" spans="1:19" x14ac:dyDescent="0.25">
      <c r="A297" s="6" t="s">
        <v>159</v>
      </c>
      <c r="B297" s="2" t="s">
        <v>38</v>
      </c>
      <c r="C297" s="2" t="s">
        <v>310</v>
      </c>
      <c r="D297" s="6" t="s">
        <v>448</v>
      </c>
      <c r="E297" s="6" t="s">
        <v>395</v>
      </c>
      <c r="F297" s="1" t="s">
        <v>86</v>
      </c>
      <c r="G297" s="6" t="s">
        <v>316</v>
      </c>
      <c r="H297" s="1">
        <v>50</v>
      </c>
      <c r="I297" s="2">
        <v>12.27</v>
      </c>
      <c r="J297" s="2">
        <v>7.01</v>
      </c>
      <c r="K297" s="6">
        <f t="shared" si="2"/>
        <v>8.4481224403535453</v>
      </c>
      <c r="L297" s="2">
        <v>1.7503566333808844</v>
      </c>
      <c r="M297" s="2">
        <v>0.22819999999999999</v>
      </c>
      <c r="N297" s="6">
        <v>12.816633725251362</v>
      </c>
      <c r="O297" s="2">
        <v>56</v>
      </c>
      <c r="P297" s="2">
        <v>46</v>
      </c>
      <c r="Q297" s="1">
        <v>0.8214285714285714</v>
      </c>
      <c r="R297" s="1">
        <v>0.67016916427750139</v>
      </c>
      <c r="S297" s="1">
        <v>0.1081328334753061</v>
      </c>
    </row>
    <row r="298" spans="1:19" x14ac:dyDescent="0.25">
      <c r="A298" s="6" t="s">
        <v>159</v>
      </c>
      <c r="B298" s="2" t="s">
        <v>65</v>
      </c>
      <c r="C298" s="2" t="s">
        <v>223</v>
      </c>
      <c r="D298" s="6" t="s">
        <v>433</v>
      </c>
      <c r="E298" s="6" t="s">
        <v>366</v>
      </c>
      <c r="F298" s="1" t="s">
        <v>3</v>
      </c>
      <c r="G298" s="6" t="s">
        <v>318</v>
      </c>
      <c r="H298" s="1">
        <v>77</v>
      </c>
      <c r="I298" s="2">
        <v>13.13</v>
      </c>
      <c r="J298" s="2">
        <v>6.8</v>
      </c>
      <c r="K298" s="6">
        <f t="shared" si="2"/>
        <v>8.4676100656536857</v>
      </c>
      <c r="L298" s="2">
        <v>1.9308823529411767</v>
      </c>
      <c r="M298" s="2">
        <v>0.23580000000000001</v>
      </c>
      <c r="N298" s="6">
        <v>10.940502587607947</v>
      </c>
      <c r="O298" s="2">
        <v>163</v>
      </c>
      <c r="P298" s="2">
        <v>90</v>
      </c>
      <c r="Q298" s="1">
        <v>0.55214723926380371</v>
      </c>
      <c r="R298" s="1">
        <v>0.62481286329922647</v>
      </c>
      <c r="S298" s="1">
        <v>9.7585120835556968E-2</v>
      </c>
    </row>
    <row r="299" spans="1:19" x14ac:dyDescent="0.25">
      <c r="A299" s="6" t="s">
        <v>159</v>
      </c>
      <c r="B299" s="2" t="s">
        <v>79</v>
      </c>
      <c r="C299" s="2" t="s">
        <v>311</v>
      </c>
      <c r="D299" s="6" t="s">
        <v>447</v>
      </c>
      <c r="E299" s="6" t="s">
        <v>394</v>
      </c>
      <c r="F299" s="1" t="s">
        <v>86</v>
      </c>
      <c r="G299" s="6" t="s">
        <v>316</v>
      </c>
      <c r="H299" s="1">
        <v>50</v>
      </c>
      <c r="I299" s="2">
        <v>10.29</v>
      </c>
      <c r="J299" s="2">
        <v>5.81</v>
      </c>
      <c r="K299" s="6">
        <f t="shared" si="2"/>
        <v>7.0294694286775377</v>
      </c>
      <c r="L299" s="2">
        <v>1.7710843373493976</v>
      </c>
      <c r="M299" s="2">
        <v>0.10630000000000001</v>
      </c>
      <c r="N299" s="6">
        <v>9.8066778220140804</v>
      </c>
      <c r="O299" s="2">
        <v>52</v>
      </c>
      <c r="P299" s="2">
        <v>0</v>
      </c>
      <c r="Q299" s="1">
        <v>0</v>
      </c>
      <c r="R299" s="1">
        <v>0.68499867567163197</v>
      </c>
      <c r="S299" s="1">
        <v>6.2019636284354675E-2</v>
      </c>
    </row>
    <row r="300" spans="1:19" x14ac:dyDescent="0.25">
      <c r="A300" s="6" t="s">
        <v>159</v>
      </c>
      <c r="B300" s="2" t="s">
        <v>38</v>
      </c>
      <c r="C300" s="2" t="s">
        <v>312</v>
      </c>
      <c r="D300" s="6" t="s">
        <v>448</v>
      </c>
      <c r="E300" s="6" t="s">
        <v>395</v>
      </c>
      <c r="F300" s="1" t="s">
        <v>86</v>
      </c>
      <c r="G300" s="6" t="s">
        <v>316</v>
      </c>
      <c r="H300" s="1">
        <v>53</v>
      </c>
      <c r="I300" s="2">
        <v>12.44</v>
      </c>
      <c r="J300" s="2">
        <v>6.95</v>
      </c>
      <c r="K300" s="6">
        <f t="shared" si="2"/>
        <v>8.4384625989103821</v>
      </c>
      <c r="L300" s="2">
        <v>1.7899280575539567</v>
      </c>
      <c r="M300" s="2">
        <v>0.23080000000000001</v>
      </c>
      <c r="N300" s="6">
        <v>12.469307410170487</v>
      </c>
      <c r="O300" s="2">
        <v>37</v>
      </c>
      <c r="P300" s="2">
        <v>0</v>
      </c>
      <c r="Q300" s="1">
        <v>0</v>
      </c>
      <c r="R300" s="1">
        <v>0.72217694210788386</v>
      </c>
      <c r="S300" s="1">
        <v>9.3324345689294791E-2</v>
      </c>
    </row>
    <row r="301" spans="1:19" x14ac:dyDescent="0.25">
      <c r="A301" s="6" t="s">
        <v>159</v>
      </c>
      <c r="B301" s="2" t="s">
        <v>24</v>
      </c>
      <c r="C301" s="2" t="s">
        <v>234</v>
      </c>
      <c r="D301" s="6" t="s">
        <v>438</v>
      </c>
      <c r="E301" s="6" t="s">
        <v>370</v>
      </c>
      <c r="F301" s="1" t="s">
        <v>3</v>
      </c>
      <c r="G301" s="6" t="s">
        <v>318</v>
      </c>
      <c r="H301" s="1">
        <v>82</v>
      </c>
      <c r="I301" s="2">
        <v>14.81</v>
      </c>
      <c r="J301" s="2">
        <v>7.38</v>
      </c>
      <c r="K301" s="6">
        <f t="shared" si="2"/>
        <v>9.3087048569425495</v>
      </c>
      <c r="L301" s="2">
        <v>2.0067750677506777</v>
      </c>
      <c r="M301" s="2">
        <v>0.34260000000000002</v>
      </c>
      <c r="N301" s="6">
        <v>11.31936576513406</v>
      </c>
      <c r="O301" s="2">
        <v>7</v>
      </c>
      <c r="P301" s="2">
        <v>0</v>
      </c>
      <c r="Q301" s="1">
        <v>0</v>
      </c>
      <c r="R301" s="1">
        <v>0.89958783982379986</v>
      </c>
      <c r="S301" s="1">
        <v>0.15617395581596946</v>
      </c>
    </row>
    <row r="302" spans="1:19" x14ac:dyDescent="0.25">
      <c r="A302" s="6" t="s">
        <v>159</v>
      </c>
      <c r="B302" s="2" t="s">
        <v>58</v>
      </c>
      <c r="C302" s="2" t="s">
        <v>235</v>
      </c>
      <c r="D302" s="6" t="s">
        <v>441</v>
      </c>
      <c r="E302" s="6" t="s">
        <v>373</v>
      </c>
      <c r="F302" s="1" t="s">
        <v>3</v>
      </c>
      <c r="G302" s="6" t="s">
        <v>318</v>
      </c>
      <c r="H302" s="1">
        <v>75</v>
      </c>
      <c r="I302" s="2">
        <v>14.4</v>
      </c>
      <c r="J302" s="2">
        <v>7.94</v>
      </c>
      <c r="K302" s="6">
        <f t="shared" si="2"/>
        <v>9.6828045513013841</v>
      </c>
      <c r="L302" s="2">
        <v>1.8136020151133501</v>
      </c>
      <c r="M302" s="2">
        <v>0.3589</v>
      </c>
      <c r="N302" s="6">
        <v>12.834862801238346</v>
      </c>
      <c r="O302" s="2">
        <v>4</v>
      </c>
      <c r="P302" s="2">
        <v>0</v>
      </c>
      <c r="Q302" s="1">
        <v>0</v>
      </c>
      <c r="R302" s="1">
        <v>0.67031724263206616</v>
      </c>
      <c r="S302" s="1">
        <v>0.18721950819334576</v>
      </c>
    </row>
    <row r="303" spans="1:19" x14ac:dyDescent="0.25">
      <c r="A303" s="6" t="s">
        <v>159</v>
      </c>
      <c r="B303" s="2" t="s">
        <v>38</v>
      </c>
      <c r="C303" s="2" t="s">
        <v>313</v>
      </c>
      <c r="D303" s="6" t="s">
        <v>448</v>
      </c>
      <c r="E303" s="6" t="s">
        <v>395</v>
      </c>
      <c r="F303" s="1" t="s">
        <v>86</v>
      </c>
      <c r="G303" s="6" t="s">
        <v>316</v>
      </c>
      <c r="H303" s="1">
        <v>54</v>
      </c>
      <c r="I303" s="2">
        <v>13.51</v>
      </c>
      <c r="J303" s="2">
        <v>7.66</v>
      </c>
      <c r="K303" s="6">
        <f t="shared" si="2"/>
        <v>9.254883638852732</v>
      </c>
      <c r="L303" s="2">
        <v>1.7637075718015665</v>
      </c>
      <c r="M303" s="2">
        <v>0.29260000000000003</v>
      </c>
      <c r="N303" s="6">
        <v>12.526398898958693</v>
      </c>
      <c r="O303" s="2">
        <v>6</v>
      </c>
      <c r="P303" s="2">
        <v>0</v>
      </c>
      <c r="Q303" s="1">
        <v>0</v>
      </c>
      <c r="R303" s="1">
        <v>0.72221496448740563</v>
      </c>
      <c r="S303" s="1">
        <v>0.2803653940887762</v>
      </c>
    </row>
    <row r="304" spans="1:19" x14ac:dyDescent="0.25">
      <c r="A304" s="6" t="s">
        <v>159</v>
      </c>
      <c r="B304" s="2" t="s">
        <v>79</v>
      </c>
      <c r="C304" s="2" t="s">
        <v>314</v>
      </c>
      <c r="D304" s="6" t="s">
        <v>447</v>
      </c>
      <c r="E304" s="6" t="s">
        <v>394</v>
      </c>
      <c r="F304" s="2" t="s">
        <v>86</v>
      </c>
      <c r="G304" s="6" t="s">
        <v>316</v>
      </c>
      <c r="H304" s="1">
        <v>60</v>
      </c>
      <c r="I304" s="2">
        <v>14.98</v>
      </c>
      <c r="J304" s="2">
        <v>7.95</v>
      </c>
      <c r="K304" s="6">
        <f t="shared" si="2"/>
        <v>9.8193337955746287</v>
      </c>
      <c r="L304" s="2">
        <v>1.8842767295597485</v>
      </c>
      <c r="M304" s="2">
        <v>0.31640000000000001</v>
      </c>
      <c r="N304" s="6">
        <v>10.122625297154315</v>
      </c>
      <c r="O304" s="2" t="s">
        <v>181</v>
      </c>
      <c r="P304" s="2">
        <v>0</v>
      </c>
      <c r="Q304" s="1" t="s">
        <v>181</v>
      </c>
      <c r="R304" s="1" t="s">
        <v>181</v>
      </c>
      <c r="S304" s="1" t="s">
        <v>181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Meuthen, Denis</dc:creator>
  <cp:lastModifiedBy>Meuthen, Denis</cp:lastModifiedBy>
  <dcterms:created xsi:type="dcterms:W3CDTF">2026-03-19T09:17:38Z</dcterms:created>
  <dcterms:modified xsi:type="dcterms:W3CDTF">2026-03-19T15:45:32Z</dcterms:modified>
</cp:coreProperties>
</file>